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E600A6-9CB9-4F89-B715-586E81072EBD}" xr6:coauthVersionLast="36" xr6:coauthVersionMax="47" xr10:uidLastSave="{00000000-0000-0000-0000-000000000000}"/>
  <bookViews>
    <workbookView xWindow="0" yWindow="0" windowWidth="30720" windowHeight="13260" activeTab="1" xr2:uid="{00000000-000D-0000-FFFF-FFFF00000000}"/>
  </bookViews>
  <sheets>
    <sheet name="PATIENTS" sheetId="1" r:id="rId1"/>
    <sheet name="Merged Dataset" sheetId="5" r:id="rId2"/>
    <sheet name="FOLLOWUP" sheetId="2" r:id="rId3"/>
    <sheet name="Sheet1" sheetId="4" r:id="rId4"/>
    <sheet name="HEALTHY CONTACTS" sheetId="3" r:id="rId5"/>
  </sheets>
  <definedNames>
    <definedName name="_xlnm._FilterDatabase" localSheetId="0" hidden="1">PATIENTS!$A$1:$AV$219</definedName>
  </definedNames>
  <calcPr calcId="191029"/>
  <extLst>
    <ext uri="GoogleSheetsCustomDataVersion2">
      <go:sheetsCustomData xmlns:go="http://customooxmlschemas.google.com/" r:id="rId7" roundtripDataChecksum="ECJYSaAGFbZj/VCElWZl8XtfCyZDp6mueYL9wk5v82s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2" i="1"/>
  <c r="M143" i="1"/>
  <c r="M144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122" i="1"/>
  <c r="C79" i="2"/>
  <c r="C80" i="2"/>
  <c r="C81" i="2"/>
  <c r="C4" i="2"/>
  <c r="C2" i="2"/>
  <c r="C5" i="2"/>
  <c r="C6" i="2"/>
  <c r="C7" i="2"/>
  <c r="C11" i="2"/>
  <c r="C12" i="2"/>
  <c r="C14" i="2"/>
  <c r="C15" i="2"/>
  <c r="C17" i="2"/>
  <c r="C28" i="2"/>
  <c r="C29" i="2"/>
  <c r="C31" i="2"/>
  <c r="D90" i="1"/>
  <c r="D91" i="1"/>
  <c r="D92" i="1"/>
  <c r="D93" i="1"/>
  <c r="D94" i="1"/>
  <c r="D95" i="1"/>
  <c r="D135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91" i="1"/>
  <c r="D192" i="1"/>
  <c r="D177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89" i="1"/>
  <c r="C3" i="2"/>
  <c r="B9" i="3"/>
  <c r="C24" i="2"/>
  <c r="C25" i="2"/>
  <c r="C19" i="2"/>
  <c r="C18" i="2"/>
  <c r="C27" i="2"/>
  <c r="C20" i="2"/>
  <c r="C21" i="2"/>
  <c r="C22" i="2"/>
  <c r="C23" i="2"/>
  <c r="C30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73" i="2"/>
  <c r="C74" i="2"/>
  <c r="C75" i="2"/>
  <c r="C76" i="2"/>
  <c r="C77" i="2"/>
  <c r="C8" i="2"/>
  <c r="C9" i="2"/>
  <c r="C10" i="2"/>
  <c r="C13" i="2"/>
  <c r="C16" i="2"/>
</calcChain>
</file>

<file path=xl/sharedStrings.xml><?xml version="1.0" encoding="utf-8"?>
<sst xmlns="http://schemas.openxmlformats.org/spreadsheetml/2006/main" count="13672" uniqueCount="967">
  <si>
    <t>DATE OF SAMPLE RECEPTION</t>
  </si>
  <si>
    <t>PATIENT INITIALS</t>
  </si>
  <si>
    <t>SEX</t>
  </si>
  <si>
    <t>AGE (YEARS)</t>
  </si>
  <si>
    <t>contact</t>
  </si>
  <si>
    <t>HIV STATUS</t>
  </si>
  <si>
    <t>TAKEN ART DRUGS</t>
  </si>
  <si>
    <t>WEIGHT (KG)</t>
  </si>
  <si>
    <t>HEIGHT (CM)</t>
  </si>
  <si>
    <t>BMI</t>
  </si>
  <si>
    <t>SIGHT OF TB DISEASE</t>
  </si>
  <si>
    <t>TEMPERATURE CELICIUS</t>
  </si>
  <si>
    <t>COUGH</t>
  </si>
  <si>
    <t>DURATION IN WEEKS</t>
  </si>
  <si>
    <t>FEVER</t>
  </si>
  <si>
    <t>DURATION</t>
  </si>
  <si>
    <t>WEIGHT LOSS</t>
  </si>
  <si>
    <t>NIGHT SWEATS</t>
  </si>
  <si>
    <t>DYSPENA</t>
  </si>
  <si>
    <t>CHEST PAIN</t>
  </si>
  <si>
    <t>HEMOPTYSIS</t>
  </si>
  <si>
    <t>OTHERS</t>
  </si>
  <si>
    <t>CONSUMED ANTIBIOTIC(S) IN THE PAST 6 MONTHS  (YES/NO)</t>
  </si>
  <si>
    <t>HAS DIABETES (YES/NO)</t>
  </si>
  <si>
    <t>HAS CANCER  (YES/NO)</t>
  </si>
  <si>
    <t>SMOKES CIGARETTES (YES/NO)</t>
  </si>
  <si>
    <t>CONSUMES ALCOHOL (YES/NO)</t>
  </si>
  <si>
    <t>EVER BEEN DIAGNOSED WITH TB IN THE PAST?  (YES/NO)</t>
  </si>
  <si>
    <t>IF YES WHEN</t>
  </si>
  <si>
    <t>WERE YOU TREATED FOR TB</t>
  </si>
  <si>
    <t>OCCUPATION/WORK</t>
  </si>
  <si>
    <t>HIGHEST LEVEL OF EDUCATION (None/Primary/Secondary/Higher[S5/6]/Tertiary)</t>
  </si>
  <si>
    <t xml:space="preserve">NUMBER OF OCCUPANTS IN A HOUSEHOLD </t>
  </si>
  <si>
    <t xml:space="preserve">SAMPLES RECEIVED </t>
  </si>
  <si>
    <t>OWNERSHIP</t>
  </si>
  <si>
    <t>MTI-P-0001-KIT</t>
  </si>
  <si>
    <t>M</t>
  </si>
  <si>
    <t>POSITIVE</t>
  </si>
  <si>
    <t>YES</t>
  </si>
  <si>
    <t>PULMONARY</t>
  </si>
  <si>
    <t>yes</t>
  </si>
  <si>
    <t>NO</t>
  </si>
  <si>
    <t>2 weeks</t>
  </si>
  <si>
    <t>4 WEEKS</t>
  </si>
  <si>
    <t>CASUAL LABOUR</t>
  </si>
  <si>
    <t>COMPLETE SECONDARY</t>
  </si>
  <si>
    <t>PERSONAL</t>
  </si>
  <si>
    <t>MTI-P-0001-01KAW</t>
  </si>
  <si>
    <t>BS</t>
  </si>
  <si>
    <t>PLUMONARY</t>
  </si>
  <si>
    <t>12 WEEKS</t>
  </si>
  <si>
    <t>2 WEEKS</t>
  </si>
  <si>
    <t>3 WEEKS</t>
  </si>
  <si>
    <t>1 WEEK</t>
  </si>
  <si>
    <t>ITCHING SKIN</t>
  </si>
  <si>
    <t>24 WEEKS</t>
  </si>
  <si>
    <t>OTHER</t>
  </si>
  <si>
    <t>INCOMPLETE PRIMARY</t>
  </si>
  <si>
    <t>RENTED</t>
  </si>
  <si>
    <t>MTI-P-0002-KAW</t>
  </si>
  <si>
    <t>MH</t>
  </si>
  <si>
    <t>TERTIARY</t>
  </si>
  <si>
    <t>MTI-P-0003-KAW</t>
  </si>
  <si>
    <t>KE</t>
  </si>
  <si>
    <t>20 WEEKS</t>
  </si>
  <si>
    <t>8 WEEKS</t>
  </si>
  <si>
    <t>MTI-P-0004-KAW</t>
  </si>
  <si>
    <t>GD</t>
  </si>
  <si>
    <t>NEGATIVE</t>
  </si>
  <si>
    <t>N/A</t>
  </si>
  <si>
    <t>12WEEKS</t>
  </si>
  <si>
    <t>BUILDER</t>
  </si>
  <si>
    <t>INCOMPLETE SECONDARY</t>
  </si>
  <si>
    <t>MTI-P-0017-KAW</t>
  </si>
  <si>
    <t>KP</t>
  </si>
  <si>
    <t>MTI-P 0052-KSY</t>
  </si>
  <si>
    <t>MJ</t>
  </si>
  <si>
    <t>16WEEKS</t>
  </si>
  <si>
    <t>8WEEKS</t>
  </si>
  <si>
    <t>UNEMPLOYED</t>
  </si>
  <si>
    <t>MTI-P-0051-KSY</t>
  </si>
  <si>
    <t>AR</t>
  </si>
  <si>
    <t>4WEEKS</t>
  </si>
  <si>
    <t>2WEEKS</t>
  </si>
  <si>
    <t>MARKET VENDOUR</t>
  </si>
  <si>
    <t>MTI-P-0049-KSY</t>
  </si>
  <si>
    <t>RJ</t>
  </si>
  <si>
    <t>F</t>
  </si>
  <si>
    <t>FOOD SELLER</t>
  </si>
  <si>
    <t>MTI-P-0013-KAW</t>
  </si>
  <si>
    <t>MTI-P-0014-KAW</t>
  </si>
  <si>
    <t>KS</t>
  </si>
  <si>
    <t>0752249299</t>
  </si>
  <si>
    <t xml:space="preserve">POSITIVE </t>
  </si>
  <si>
    <t>DRIVER</t>
  </si>
  <si>
    <t>MTI-P -0007 -KIT</t>
  </si>
  <si>
    <t>MF</t>
  </si>
  <si>
    <t>9 WEEKS</t>
  </si>
  <si>
    <t>60 WEEKS</t>
  </si>
  <si>
    <t>COMPLETE PRIMARY</t>
  </si>
  <si>
    <t>MT</t>
  </si>
  <si>
    <t>MTI-P-0003-KIT</t>
  </si>
  <si>
    <t>ZC</t>
  </si>
  <si>
    <t>36 WEEKS</t>
  </si>
  <si>
    <t xml:space="preserve">YES </t>
  </si>
  <si>
    <t>CLEANER</t>
  </si>
  <si>
    <t>EMPLOYER OWNED</t>
  </si>
  <si>
    <t>MTI-P-0007-RBG</t>
  </si>
  <si>
    <t>SR</t>
  </si>
  <si>
    <t>0703669368</t>
  </si>
  <si>
    <t>6 WEEKS</t>
  </si>
  <si>
    <t>MTI-P-009-RBG</t>
  </si>
  <si>
    <t>KC</t>
  </si>
  <si>
    <t>0701820463</t>
  </si>
  <si>
    <t>5 WEEKS</t>
  </si>
  <si>
    <t>STUDENT</t>
  </si>
  <si>
    <t>MTI-P-0017-KSY</t>
  </si>
  <si>
    <t>NY</t>
  </si>
  <si>
    <t>MARKET VENDOR</t>
  </si>
  <si>
    <t>MTI-P-0008-KSY</t>
  </si>
  <si>
    <t>MD</t>
  </si>
  <si>
    <t>BUTCHER ATTENDANT</t>
  </si>
  <si>
    <t>MTI-P-0011-KSY</t>
  </si>
  <si>
    <t>TB</t>
  </si>
  <si>
    <t>0702292803</t>
  </si>
  <si>
    <t>BROCKER</t>
  </si>
  <si>
    <t>MTI-P-0009-KSY</t>
  </si>
  <si>
    <t>MI</t>
  </si>
  <si>
    <t>MTI-P-0013-KSY</t>
  </si>
  <si>
    <t>LE</t>
  </si>
  <si>
    <t>MTI-P-0012-KSY</t>
  </si>
  <si>
    <t>CYM</t>
  </si>
  <si>
    <t>16 WEEKS</t>
  </si>
  <si>
    <t>MTI-P-1500-KSY</t>
  </si>
  <si>
    <t>BD</t>
  </si>
  <si>
    <t>0705227234</t>
  </si>
  <si>
    <t>HEADACHE</t>
  </si>
  <si>
    <t>CLERICAL WORKER</t>
  </si>
  <si>
    <t>MTI-P-0016-KSY</t>
  </si>
  <si>
    <t>MS</t>
  </si>
  <si>
    <t>120 WEEKS</t>
  </si>
  <si>
    <t>HOUSE WIFE</t>
  </si>
  <si>
    <t>MTI-P-0018-KSY</t>
  </si>
  <si>
    <t>SJ</t>
  </si>
  <si>
    <t>CASUAL WORKER</t>
  </si>
  <si>
    <t>MTI-P-0019-KSY</t>
  </si>
  <si>
    <t>10 WEEKS</t>
  </si>
  <si>
    <t>MTI-P-0004-RBG</t>
  </si>
  <si>
    <t>NS</t>
  </si>
  <si>
    <t>0752660782</t>
  </si>
  <si>
    <t>28 WEEKS</t>
  </si>
  <si>
    <t>MTI-P-0056-KSY</t>
  </si>
  <si>
    <t>NH</t>
  </si>
  <si>
    <t>0703128490</t>
  </si>
  <si>
    <t>MTI-P-0011-RBG</t>
  </si>
  <si>
    <t>0756458981</t>
  </si>
  <si>
    <t>30 WEEKS</t>
  </si>
  <si>
    <t>14 WEEKS</t>
  </si>
  <si>
    <t>BODA BODA RIDER</t>
  </si>
  <si>
    <r>
      <rPr>
        <sz val="11"/>
        <color theme="1"/>
        <rFont val="Calibri"/>
      </rPr>
      <t>MTI-P-004-KSY(</t>
    </r>
    <r>
      <rPr>
        <sz val="11"/>
        <color rgb="FF2F5496"/>
        <rFont val="Calibri"/>
      </rPr>
      <t>follow up</t>
    </r>
    <r>
      <rPr>
        <sz val="11"/>
        <color theme="1"/>
        <rFont val="Calibri"/>
      </rPr>
      <t>)</t>
    </r>
  </si>
  <si>
    <t>NF</t>
  </si>
  <si>
    <t xml:space="preserve">MTI-P-004-KSY </t>
  </si>
  <si>
    <t>7 WEEKS</t>
  </si>
  <si>
    <t>BUSINESS WOMAN</t>
  </si>
  <si>
    <t>MTI-P-003-KSY</t>
  </si>
  <si>
    <t>48 WEEKS</t>
  </si>
  <si>
    <t>CASUAL LABOURER</t>
  </si>
  <si>
    <t>MTI-P-0026-KSY</t>
  </si>
  <si>
    <t>AA</t>
  </si>
  <si>
    <t>YES, BACKACHE, JOINT PAIN</t>
  </si>
  <si>
    <t>MTI-P-0005-KSY</t>
  </si>
  <si>
    <t>JK</t>
  </si>
  <si>
    <t>NONE</t>
  </si>
  <si>
    <t>MTI-P-0006-KSY</t>
  </si>
  <si>
    <t>CIVIL SERVANT</t>
  </si>
  <si>
    <t>INCOMPLETESECONDARY</t>
  </si>
  <si>
    <t>MTI-P-0007-KSY</t>
  </si>
  <si>
    <t>KH</t>
  </si>
  <si>
    <t>LIBRARIAN</t>
  </si>
  <si>
    <r>
      <rPr>
        <sz val="11"/>
        <color theme="1"/>
        <rFont val="Calibri"/>
      </rPr>
      <t xml:space="preserve">MTI-P-008-KSY( </t>
    </r>
    <r>
      <rPr>
        <sz val="11"/>
        <color rgb="FF2F5496"/>
        <rFont val="Calibri"/>
      </rPr>
      <t>follow up</t>
    </r>
    <r>
      <rPr>
        <sz val="11"/>
        <color theme="1"/>
        <rFont val="Calibri"/>
      </rPr>
      <t>)</t>
    </r>
  </si>
  <si>
    <t>KM</t>
  </si>
  <si>
    <t>MTI-P-0020-KSY</t>
  </si>
  <si>
    <t>Pulmonary</t>
  </si>
  <si>
    <t>5 MONTHS</t>
  </si>
  <si>
    <t>3 DAYS</t>
  </si>
  <si>
    <t>3 MONTHS</t>
  </si>
  <si>
    <t>MTI-P-0021-KSY</t>
  </si>
  <si>
    <t>MG</t>
  </si>
  <si>
    <t>#</t>
  </si>
  <si>
    <r>
      <rPr>
        <sz val="11"/>
        <color theme="1"/>
        <rFont val="Calibri"/>
      </rPr>
      <t>MTI-P-0021-KSY (</t>
    </r>
    <r>
      <rPr>
        <sz val="11"/>
        <color rgb="FF2F5496"/>
        <rFont val="Calibri"/>
      </rPr>
      <t>follow up</t>
    </r>
    <r>
      <rPr>
        <sz val="11"/>
        <color theme="1"/>
        <rFont val="Calibri"/>
      </rPr>
      <t>)</t>
    </r>
  </si>
  <si>
    <t>YES ,JOINT PAIN</t>
  </si>
  <si>
    <t>MTI-P-0022-KSY</t>
  </si>
  <si>
    <t>NW</t>
  </si>
  <si>
    <t>8 weeks</t>
  </si>
  <si>
    <t>20 weeks</t>
  </si>
  <si>
    <t>4 weeks</t>
  </si>
  <si>
    <t>no</t>
  </si>
  <si>
    <t>yes, candiasis</t>
  </si>
  <si>
    <t>tailor</t>
  </si>
  <si>
    <t>incomplete secondary</t>
  </si>
  <si>
    <t>rented</t>
  </si>
  <si>
    <r>
      <rPr>
        <sz val="11"/>
        <color theme="1"/>
        <rFont val="Calibri"/>
      </rPr>
      <t>MTI-P-0022-KSY (</t>
    </r>
    <r>
      <rPr>
        <sz val="11"/>
        <color rgb="FF2F5496"/>
        <rFont val="Calibri"/>
      </rPr>
      <t>Followup)</t>
    </r>
  </si>
  <si>
    <t>MTI-P-0023-KSY</t>
  </si>
  <si>
    <t>KB</t>
  </si>
  <si>
    <t>0702488845</t>
  </si>
  <si>
    <r>
      <rPr>
        <sz val="11"/>
        <color theme="1"/>
        <rFont val="Calibri"/>
      </rPr>
      <t>MTI-P-0023-KSY (</t>
    </r>
    <r>
      <rPr>
        <sz val="11"/>
        <color rgb="FF2F5496"/>
        <rFont val="Calibri"/>
      </rPr>
      <t>FOLLOW UP)</t>
    </r>
  </si>
  <si>
    <t>MTI-P-0024-KSY</t>
  </si>
  <si>
    <r>
      <rPr>
        <sz val="11"/>
        <color theme="1"/>
        <rFont val="Calibri"/>
      </rPr>
      <t xml:space="preserve">MTI-P-0024-KSY ( </t>
    </r>
    <r>
      <rPr>
        <sz val="11"/>
        <color rgb="FF2F5496"/>
        <rFont val="Calibri"/>
      </rPr>
      <t>FOLLOW UP)</t>
    </r>
  </si>
  <si>
    <t>YES, TOOTHACHE, JOINTPAINS, BODY WEAKNESS</t>
  </si>
  <si>
    <t>MTI-P-0001-KSY</t>
  </si>
  <si>
    <t>MTI-P-0002-KSY</t>
  </si>
  <si>
    <t>WB</t>
  </si>
  <si>
    <t>MTI-P-0025-KSY</t>
  </si>
  <si>
    <t>YES, BACKACHE</t>
  </si>
  <si>
    <t>BODA BODA</t>
  </si>
  <si>
    <t>MTI-P-0027-KSY</t>
  </si>
  <si>
    <t>NR</t>
  </si>
  <si>
    <t>MTI-P-0028-KSY</t>
  </si>
  <si>
    <t>NM</t>
  </si>
  <si>
    <t>0758323448</t>
  </si>
  <si>
    <t>BAR ATTENDANT</t>
  </si>
  <si>
    <r>
      <rPr>
        <sz val="11"/>
        <color theme="1"/>
        <rFont val="Calibri"/>
      </rPr>
      <t>MTI-P-009-KSY (</t>
    </r>
    <r>
      <rPr>
        <sz val="11"/>
        <color rgb="FF44546A"/>
        <rFont val="Calibri"/>
      </rPr>
      <t>FOLLOW UP)</t>
    </r>
  </si>
  <si>
    <t>YES, PAINFUL VEINS</t>
  </si>
  <si>
    <t>MTI-P-0029-KSY</t>
  </si>
  <si>
    <t>NA</t>
  </si>
  <si>
    <t>0759140925</t>
  </si>
  <si>
    <t>SECRETARY</t>
  </si>
  <si>
    <r>
      <rPr>
        <sz val="11"/>
        <color theme="1"/>
        <rFont val="Calibri"/>
      </rPr>
      <t>MTI-P-0029-KSY (</t>
    </r>
    <r>
      <rPr>
        <sz val="11"/>
        <color rgb="FF44546A"/>
        <rFont val="Calibri"/>
      </rPr>
      <t>FOLLOW UP)</t>
    </r>
  </si>
  <si>
    <t>1 WEEKS</t>
  </si>
  <si>
    <t>MTI-P-0030-KSY</t>
  </si>
  <si>
    <t>EB</t>
  </si>
  <si>
    <t>0708594832</t>
  </si>
  <si>
    <r>
      <rPr>
        <sz val="11"/>
        <color theme="1"/>
        <rFont val="Calibri"/>
      </rPr>
      <t>MTI-P-0030-KSY (</t>
    </r>
    <r>
      <rPr>
        <sz val="11"/>
        <color rgb="FF44546A"/>
        <rFont val="Calibri"/>
      </rPr>
      <t>FOLLOW UP)</t>
    </r>
  </si>
  <si>
    <t>0772810642</t>
  </si>
  <si>
    <t>MTI-P-0031-KSY</t>
  </si>
  <si>
    <t>REFUGEE</t>
  </si>
  <si>
    <r>
      <rPr>
        <sz val="11"/>
        <color theme="1"/>
        <rFont val="Calibri"/>
      </rPr>
      <t>MTI-P-0031-KSY (</t>
    </r>
    <r>
      <rPr>
        <sz val="11"/>
        <color rgb="FF44546A"/>
        <rFont val="Calibri"/>
      </rPr>
      <t xml:space="preserve"> follow up)</t>
    </r>
  </si>
  <si>
    <t>MTI-P-0032-KSY</t>
  </si>
  <si>
    <t>0706442619</t>
  </si>
  <si>
    <t>YES, DIDNOT COMPLETE TREATMENT</t>
  </si>
  <si>
    <t>HAWKER</t>
  </si>
  <si>
    <t>MTI-P-0033-KSY</t>
  </si>
  <si>
    <t>JS</t>
  </si>
  <si>
    <t>0782711742/0703626252</t>
  </si>
  <si>
    <t>6 YEARS</t>
  </si>
  <si>
    <t>20 YEARS</t>
  </si>
  <si>
    <t>1 YEAR</t>
  </si>
  <si>
    <t>YES SKIN ALLERGY</t>
  </si>
  <si>
    <t>3 YEARS</t>
  </si>
  <si>
    <t>YES, 2 YEARS AGO</t>
  </si>
  <si>
    <t>2 YEARS AGO</t>
  </si>
  <si>
    <t>CONSTRUCTION DEALER</t>
  </si>
  <si>
    <r>
      <rPr>
        <sz val="11"/>
        <color theme="1"/>
        <rFont val="Calibri"/>
      </rPr>
      <t xml:space="preserve">MTI-P-0033-KSY </t>
    </r>
    <r>
      <rPr>
        <sz val="11"/>
        <color rgb="FF44546A"/>
        <rFont val="Calibri"/>
      </rPr>
      <t>FOLLOWUP</t>
    </r>
  </si>
  <si>
    <t>0703626252</t>
  </si>
  <si>
    <t>MTI-P-0034-KSY</t>
  </si>
  <si>
    <t>KKY</t>
  </si>
  <si>
    <t>4 YEARS</t>
  </si>
  <si>
    <t>1 YEARS</t>
  </si>
  <si>
    <t>12 MONTHS</t>
  </si>
  <si>
    <t>YES, DID NOT COMPLETE TREATMENT</t>
  </si>
  <si>
    <t>MTI-P-0035-KSY</t>
  </si>
  <si>
    <t>NJ</t>
  </si>
  <si>
    <t>0706933226</t>
  </si>
  <si>
    <t xml:space="preserve"> 1 WEEK</t>
  </si>
  <si>
    <t>TURN MAN</t>
  </si>
  <si>
    <t>MTI-P-0036-KSY</t>
  </si>
  <si>
    <t>MM</t>
  </si>
  <si>
    <t>0701617720</t>
  </si>
  <si>
    <t>CHAPATI MAKER</t>
  </si>
  <si>
    <t>MTI-P-0037-KSY</t>
  </si>
  <si>
    <t>0704052329</t>
  </si>
  <si>
    <t>MTI-P-0038-KSY</t>
  </si>
  <si>
    <t>0753163133</t>
  </si>
  <si>
    <t>MTI-P-0039-KSY</t>
  </si>
  <si>
    <t>0705923414</t>
  </si>
  <si>
    <t>NAIL EDITOR</t>
  </si>
  <si>
    <r>
      <rPr>
        <sz val="11"/>
        <color theme="1"/>
        <rFont val="Calibri"/>
      </rPr>
      <t xml:space="preserve">MTI-P-0039-KSY </t>
    </r>
    <r>
      <rPr>
        <sz val="11"/>
        <color rgb="FF44546A"/>
        <rFont val="Calibri"/>
      </rPr>
      <t>FOLLOW UP</t>
    </r>
  </si>
  <si>
    <t>MTI-P-0040-KSY</t>
  </si>
  <si>
    <t>WE</t>
  </si>
  <si>
    <t>0742793938</t>
  </si>
  <si>
    <t>2021 IN MARCH</t>
  </si>
  <si>
    <r>
      <rPr>
        <sz val="11"/>
        <color theme="1"/>
        <rFont val="Calibri"/>
      </rPr>
      <t xml:space="preserve">MTI-P-0040-KSY </t>
    </r>
    <r>
      <rPr>
        <sz val="11"/>
        <color rgb="FF44546A"/>
        <rFont val="Calibri"/>
      </rPr>
      <t>FOLLOW UP</t>
    </r>
  </si>
  <si>
    <t>MTI-P-0041-KSY</t>
  </si>
  <si>
    <t>KR</t>
  </si>
  <si>
    <t>0755199827</t>
  </si>
  <si>
    <t>38 WEEKS</t>
  </si>
  <si>
    <t>21WEEKS</t>
  </si>
  <si>
    <t>MTI-P-0042-KSY</t>
  </si>
  <si>
    <t>GJ</t>
  </si>
  <si>
    <t>0703243889</t>
  </si>
  <si>
    <t>RETAILER</t>
  </si>
  <si>
    <t>MTI-P-0043-KSY</t>
  </si>
  <si>
    <t>LJ</t>
  </si>
  <si>
    <t/>
  </si>
  <si>
    <t>YES, JOINT PAINS</t>
  </si>
  <si>
    <t>CARPENTER</t>
  </si>
  <si>
    <t>MTI-P-0044-KSY</t>
  </si>
  <si>
    <t>KG</t>
  </si>
  <si>
    <t>0776702972</t>
  </si>
  <si>
    <t>MTI-P-0045-KSY</t>
  </si>
  <si>
    <t>0758986966</t>
  </si>
  <si>
    <t>YES, ULCERS</t>
  </si>
  <si>
    <r>
      <rPr>
        <sz val="11"/>
        <color theme="1"/>
        <rFont val="Calibri"/>
      </rPr>
      <t xml:space="preserve">MTI-P-0046-KSY </t>
    </r>
    <r>
      <rPr>
        <sz val="11"/>
        <color rgb="FFFF0000"/>
        <rFont val="Calibri"/>
      </rPr>
      <t>QUESTIONNAIRE NOT COMPLETED</t>
    </r>
  </si>
  <si>
    <t>SG</t>
  </si>
  <si>
    <t>0704709771</t>
  </si>
  <si>
    <t>6WEEKS</t>
  </si>
  <si>
    <t>MTI-P-0047-KSY</t>
  </si>
  <si>
    <t>BB</t>
  </si>
  <si>
    <t>MTI-P-050-KSY</t>
  </si>
  <si>
    <t>MR</t>
  </si>
  <si>
    <t>0759544852</t>
  </si>
  <si>
    <t>YES, LOSSOF APETTITE</t>
  </si>
  <si>
    <t>YES, DOESN’T REMEMBER</t>
  </si>
  <si>
    <t>YES, TREATMENT COMPLETED</t>
  </si>
  <si>
    <t>MTI-P-048-KSY</t>
  </si>
  <si>
    <t>0705761677</t>
  </si>
  <si>
    <t>MECHANIC</t>
  </si>
  <si>
    <t>MTI-P-053-KSY</t>
  </si>
  <si>
    <t>0757137613</t>
  </si>
  <si>
    <t>MTI-P-054-KSY</t>
  </si>
  <si>
    <t>TG</t>
  </si>
  <si>
    <t>0752283135</t>
  </si>
  <si>
    <t>7 YEARS</t>
  </si>
  <si>
    <t>READER</t>
  </si>
  <si>
    <t>MTI-P-055-KSY</t>
  </si>
  <si>
    <t>0708370934</t>
  </si>
  <si>
    <t>9 MONTHS</t>
  </si>
  <si>
    <t>4 MONTHS</t>
  </si>
  <si>
    <t>4MONTHS</t>
  </si>
  <si>
    <t>6 MONTHS</t>
  </si>
  <si>
    <t>288 DAYS</t>
  </si>
  <si>
    <t>MTI-P-058-KSY</t>
  </si>
  <si>
    <t>075730202022</t>
  </si>
  <si>
    <t>MTI-P-059-KSY</t>
  </si>
  <si>
    <t>BY</t>
  </si>
  <si>
    <t>0752886160</t>
  </si>
  <si>
    <t>32 WEEKS</t>
  </si>
  <si>
    <t>SCRAP DEALER</t>
  </si>
  <si>
    <t>MTI-P-060-KSY</t>
  </si>
  <si>
    <t>OF</t>
  </si>
  <si>
    <t>07722756999</t>
  </si>
  <si>
    <t>BOOKING CLEARK</t>
  </si>
  <si>
    <t>MTI-P-061-KSY</t>
  </si>
  <si>
    <t>0740907286</t>
  </si>
  <si>
    <t>BUSINESS MAN</t>
  </si>
  <si>
    <t>MTI-P-062-KSY</t>
  </si>
  <si>
    <t>0784262313</t>
  </si>
  <si>
    <t>MTI-P-063-KSY</t>
  </si>
  <si>
    <t>KF</t>
  </si>
  <si>
    <t>0756432025</t>
  </si>
  <si>
    <t>MTI-P-064-KSY</t>
  </si>
  <si>
    <t>0708287754</t>
  </si>
  <si>
    <t>040MTI-P</t>
  </si>
  <si>
    <t>KL</t>
  </si>
  <si>
    <t>52 WEEKS</t>
  </si>
  <si>
    <t>039MTI-P</t>
  </si>
  <si>
    <t>JO</t>
  </si>
  <si>
    <t>038MTI-P</t>
  </si>
  <si>
    <t>NK</t>
  </si>
  <si>
    <t>LUNGS</t>
  </si>
  <si>
    <t>037MTI-P</t>
  </si>
  <si>
    <t>LM</t>
  </si>
  <si>
    <t>036MTI-P</t>
  </si>
  <si>
    <t>HK</t>
  </si>
  <si>
    <t>COBRA</t>
  </si>
  <si>
    <t>035MTI-P</t>
  </si>
  <si>
    <t>FK</t>
  </si>
  <si>
    <t>034MTI-P</t>
  </si>
  <si>
    <t>MK</t>
  </si>
  <si>
    <t>033MTI-P</t>
  </si>
  <si>
    <t>RN</t>
  </si>
  <si>
    <t>YES, HEADACHE</t>
  </si>
  <si>
    <t>NURSE</t>
  </si>
  <si>
    <t>032MTI-P</t>
  </si>
  <si>
    <t>SOFTWARE DEVELOPER</t>
  </si>
  <si>
    <t>A.I</t>
  </si>
  <si>
    <t>031MTI-P</t>
  </si>
  <si>
    <t>F.M</t>
  </si>
  <si>
    <t>104 WEEKS</t>
  </si>
  <si>
    <t>030MTI-P</t>
  </si>
  <si>
    <t>I.K</t>
  </si>
  <si>
    <t>YES, HEADACHE, BACK  ACHE</t>
  </si>
  <si>
    <t>029MTI-P</t>
  </si>
  <si>
    <t>H.K</t>
  </si>
  <si>
    <t>SECURITY OFFICER</t>
  </si>
  <si>
    <t>028MTI-P</t>
  </si>
  <si>
    <t>B.W</t>
  </si>
  <si>
    <t>56 WEEKS</t>
  </si>
  <si>
    <t>1WEEK</t>
  </si>
  <si>
    <t>027MTI-P</t>
  </si>
  <si>
    <t>P.K</t>
  </si>
  <si>
    <t>026MTI-P</t>
  </si>
  <si>
    <t>P.I</t>
  </si>
  <si>
    <t>025MTI-P</t>
  </si>
  <si>
    <t>E.M</t>
  </si>
  <si>
    <t>024MTI-P</t>
  </si>
  <si>
    <t>P.N</t>
  </si>
  <si>
    <t>YES,ABDOMINAL PAINS</t>
  </si>
  <si>
    <t>022MTI-P</t>
  </si>
  <si>
    <t>B.M</t>
  </si>
  <si>
    <t>FISHER MAN</t>
  </si>
  <si>
    <t>021MTI-P</t>
  </si>
  <si>
    <t>E.F.W</t>
  </si>
  <si>
    <t>MEDICAL NURSE</t>
  </si>
  <si>
    <t>020MTI-P</t>
  </si>
  <si>
    <t>A.B</t>
  </si>
  <si>
    <t>SHOP ATTENDANT</t>
  </si>
  <si>
    <t>019MTI-P</t>
  </si>
  <si>
    <t>J.N</t>
  </si>
  <si>
    <t>018MTI-P</t>
  </si>
  <si>
    <t>017MTI-P</t>
  </si>
  <si>
    <t>J.M</t>
  </si>
  <si>
    <t>TECHINCIAN</t>
  </si>
  <si>
    <t>016MTI-P</t>
  </si>
  <si>
    <t>M.S</t>
  </si>
  <si>
    <t>21 WEEKS</t>
  </si>
  <si>
    <t>DISCO JOKER</t>
  </si>
  <si>
    <t>015MTI-P</t>
  </si>
  <si>
    <t>N.N</t>
  </si>
  <si>
    <t>014MTI-P</t>
  </si>
  <si>
    <t>M.K</t>
  </si>
  <si>
    <t>26 WEEKS</t>
  </si>
  <si>
    <t>013MTI-P</t>
  </si>
  <si>
    <t>YES, NUMBNESS OF THE UPPER LIMBS</t>
  </si>
  <si>
    <t>012MTI-P</t>
  </si>
  <si>
    <t>011MTI-P</t>
  </si>
  <si>
    <t>R.N</t>
  </si>
  <si>
    <t>YES, IRRITATION IN THE THROAT</t>
  </si>
  <si>
    <t>RESTURANT ATTENDANT</t>
  </si>
  <si>
    <t>010MTI-P</t>
  </si>
  <si>
    <t>H.N</t>
  </si>
  <si>
    <t>009MTI-P</t>
  </si>
  <si>
    <t>L.K</t>
  </si>
  <si>
    <t>008MTI-P</t>
  </si>
  <si>
    <t>L.J</t>
  </si>
  <si>
    <t>007MTI-P</t>
  </si>
  <si>
    <t>O.N</t>
  </si>
  <si>
    <t>PEASANT FARMER</t>
  </si>
  <si>
    <t>006MTI-P</t>
  </si>
  <si>
    <t>S.K</t>
  </si>
  <si>
    <t>005MTI-P</t>
  </si>
  <si>
    <t>208 WEEKS</t>
  </si>
  <si>
    <t>YESHEADACHE AND DIZNESS</t>
  </si>
  <si>
    <t>SALONIST</t>
  </si>
  <si>
    <t>004MTI-P</t>
  </si>
  <si>
    <t>G.S</t>
  </si>
  <si>
    <t>8 WEEKES</t>
  </si>
  <si>
    <t>YES, POOR APPETITE</t>
  </si>
  <si>
    <t>PLUMBER</t>
  </si>
  <si>
    <t>003MTI-P</t>
  </si>
  <si>
    <t>W.S</t>
  </si>
  <si>
    <t>002MTI-P</t>
  </si>
  <si>
    <t>001MTI-P</t>
  </si>
  <si>
    <t>G.Y</t>
  </si>
  <si>
    <t>1 week</t>
  </si>
  <si>
    <t>YES, DIFFICULTY IN PASSING OUT URINE</t>
  </si>
  <si>
    <t>MTI-P-101-KSY</t>
  </si>
  <si>
    <t>E.A</t>
  </si>
  <si>
    <t>MTI-P-099-KSY</t>
  </si>
  <si>
    <t>K.B</t>
  </si>
  <si>
    <t>0757010452</t>
  </si>
  <si>
    <t>MTI-P-100-KSY</t>
  </si>
  <si>
    <t>G.M</t>
  </si>
  <si>
    <t>0740315052</t>
  </si>
  <si>
    <t>MTI-P-086-KSY</t>
  </si>
  <si>
    <t>K.M</t>
  </si>
  <si>
    <t>0701313190</t>
  </si>
  <si>
    <t>FLUE</t>
  </si>
  <si>
    <t>CONDUCTOR</t>
  </si>
  <si>
    <t>MTI-P-097-KSY</t>
  </si>
  <si>
    <t>0700287457</t>
  </si>
  <si>
    <t>MTI-P-087-KSY</t>
  </si>
  <si>
    <t>N.F</t>
  </si>
  <si>
    <t>0740591604</t>
  </si>
  <si>
    <t>MTI-P-088-KSY</t>
  </si>
  <si>
    <t>K.F</t>
  </si>
  <si>
    <t>0709253122</t>
  </si>
  <si>
    <t>MTI-P-089-KSY</t>
  </si>
  <si>
    <t>N.S</t>
  </si>
  <si>
    <t>0708529627</t>
  </si>
  <si>
    <t>YES, LOSS OF APPETITE</t>
  </si>
  <si>
    <t>TOILET CLEANER</t>
  </si>
  <si>
    <t>MTI-P-098-KSY</t>
  </si>
  <si>
    <t>T.G</t>
  </si>
  <si>
    <t>0762657143</t>
  </si>
  <si>
    <t>CAR CLEANER</t>
  </si>
  <si>
    <t>MTI-P-096-KSY</t>
  </si>
  <si>
    <t>Y.M</t>
  </si>
  <si>
    <t>0784850109</t>
  </si>
  <si>
    <t>MTI-P-095-KSY</t>
  </si>
  <si>
    <t>I.G</t>
  </si>
  <si>
    <t>0755967858</t>
  </si>
  <si>
    <t>MTI-P-094-KSY</t>
  </si>
  <si>
    <t>M.J</t>
  </si>
  <si>
    <t>0759161533</t>
  </si>
  <si>
    <t>MTI-P-093-KSY</t>
  </si>
  <si>
    <t>N.I</t>
  </si>
  <si>
    <t>0752491546</t>
  </si>
  <si>
    <t>TAXI DRIVER</t>
  </si>
  <si>
    <t>MTI-P-092-KSY</t>
  </si>
  <si>
    <t>T.C</t>
  </si>
  <si>
    <t>0772042922</t>
  </si>
  <si>
    <t>MTI-P-090-KSY</t>
  </si>
  <si>
    <t>S.A</t>
  </si>
  <si>
    <t>0756656257</t>
  </si>
  <si>
    <t>MTI-P-091-KSY</t>
  </si>
  <si>
    <t>K.W</t>
  </si>
  <si>
    <t>0701031608</t>
  </si>
  <si>
    <t>RESTAURANT ATTENDANT</t>
  </si>
  <si>
    <t>MTI-P-076-KSY</t>
  </si>
  <si>
    <t>K.A</t>
  </si>
  <si>
    <t>0759983159</t>
  </si>
  <si>
    <t>MTI-P-085-KSY</t>
  </si>
  <si>
    <t>M.A.H</t>
  </si>
  <si>
    <t>0753335973</t>
  </si>
  <si>
    <t>SALES CLERK</t>
  </si>
  <si>
    <t>MTI-P-084-KSY</t>
  </si>
  <si>
    <t>T.E.K</t>
  </si>
  <si>
    <t>0786594646</t>
  </si>
  <si>
    <t>MTI-P-083-KSY</t>
  </si>
  <si>
    <t>N.A</t>
  </si>
  <si>
    <t>0758526802</t>
  </si>
  <si>
    <t>MTI-P-082-KSY</t>
  </si>
  <si>
    <t>B.D</t>
  </si>
  <si>
    <t>MTI-P-081-KSY</t>
  </si>
  <si>
    <t>S.D</t>
  </si>
  <si>
    <t>0709006811</t>
  </si>
  <si>
    <t>MTI-P-080-KSY</t>
  </si>
  <si>
    <t>K.S</t>
  </si>
  <si>
    <t>0757784234</t>
  </si>
  <si>
    <t>YES,OEDEMA</t>
  </si>
  <si>
    <t>MTI-P-079-KSY</t>
  </si>
  <si>
    <t>N.B</t>
  </si>
  <si>
    <t>0789524422</t>
  </si>
  <si>
    <t>MTI-P-078-KSY</t>
  </si>
  <si>
    <t>A.G</t>
  </si>
  <si>
    <t>0781502259</t>
  </si>
  <si>
    <t>MOBILE MONEY ATTENDANT</t>
  </si>
  <si>
    <t>MTI-P-077-KSY</t>
  </si>
  <si>
    <t>K.G</t>
  </si>
  <si>
    <t>0751837919</t>
  </si>
  <si>
    <t>18 WEEKS</t>
  </si>
  <si>
    <t>MTI-P-075-KSY</t>
  </si>
  <si>
    <t>0756166367</t>
  </si>
  <si>
    <t>YES, BACKAHE</t>
  </si>
  <si>
    <t>MTI-P-074-KSY</t>
  </si>
  <si>
    <t>0706343572</t>
  </si>
  <si>
    <t>WELDER</t>
  </si>
  <si>
    <t>MTI-P-073-KSY</t>
  </si>
  <si>
    <t>0773271232</t>
  </si>
  <si>
    <t>MTI-P-072-KSY</t>
  </si>
  <si>
    <t>O.J</t>
  </si>
  <si>
    <t>0752356586/0701916191</t>
  </si>
  <si>
    <t>MTI-P-071-KSY</t>
  </si>
  <si>
    <t>W.M</t>
  </si>
  <si>
    <t>MTI-P-070-KSY</t>
  </si>
  <si>
    <t>K.N.K</t>
  </si>
  <si>
    <t>0761021058</t>
  </si>
  <si>
    <t>MTI-P-069-KSY</t>
  </si>
  <si>
    <t>0789445446</t>
  </si>
  <si>
    <t>MTI-P-068-KSY</t>
  </si>
  <si>
    <t>0708879853</t>
  </si>
  <si>
    <t>MTI-P-065-KSY</t>
  </si>
  <si>
    <t>0786630805</t>
  </si>
  <si>
    <t>YES, FACE SWELLING</t>
  </si>
  <si>
    <t>YES, IN 2021</t>
  </si>
  <si>
    <t>MTI-P-066-KSY</t>
  </si>
  <si>
    <t>B.A</t>
  </si>
  <si>
    <t>0752339649</t>
  </si>
  <si>
    <t>MTI-P-067-KSY</t>
  </si>
  <si>
    <t>0758320843</t>
  </si>
  <si>
    <t>MTI-P-0005-RBG</t>
  </si>
  <si>
    <t>N.E</t>
  </si>
  <si>
    <t>0761298031</t>
  </si>
  <si>
    <t>MTI-P-0014-RBG</t>
  </si>
  <si>
    <t>K.E</t>
  </si>
  <si>
    <t>0759688926</t>
  </si>
  <si>
    <t>MTI-P-0027-RBG</t>
  </si>
  <si>
    <t>S.S</t>
  </si>
  <si>
    <t>0755151433</t>
  </si>
  <si>
    <t>MTI-P-0016-RBG</t>
  </si>
  <si>
    <t>M.D</t>
  </si>
  <si>
    <t>0700230664</t>
  </si>
  <si>
    <t>MTI-P-0012-RBG (DIED)</t>
  </si>
  <si>
    <t>B.S</t>
  </si>
  <si>
    <t>0752949561/0775822953</t>
  </si>
  <si>
    <t>MTI-P-0021-KAW</t>
  </si>
  <si>
    <t>N.M</t>
  </si>
  <si>
    <t>0752893380</t>
  </si>
  <si>
    <t>MTI-P-0019-KAW</t>
  </si>
  <si>
    <t>S.J</t>
  </si>
  <si>
    <t>0785613631</t>
  </si>
  <si>
    <t>CARPENTRY</t>
  </si>
  <si>
    <t>MTI-P-0022-KAW</t>
  </si>
  <si>
    <t>L.F</t>
  </si>
  <si>
    <t>0785280046</t>
  </si>
  <si>
    <t>YES ON ART</t>
  </si>
  <si>
    <t>MTI-P-0027-KAW</t>
  </si>
  <si>
    <t>A.W</t>
  </si>
  <si>
    <t>0789744076</t>
  </si>
  <si>
    <t>MTI-P-0018-KAW</t>
  </si>
  <si>
    <t>J.A</t>
  </si>
  <si>
    <t>0705475534</t>
  </si>
  <si>
    <t>MTI-P-0020-KAW</t>
  </si>
  <si>
    <t>0742557229</t>
  </si>
  <si>
    <t>4 WEEKD</t>
  </si>
  <si>
    <t>MTI-P-0025-KAW</t>
  </si>
  <si>
    <t>0703022958</t>
  </si>
  <si>
    <t>S.P</t>
  </si>
  <si>
    <t>MTI-P-0016-KAW</t>
  </si>
  <si>
    <t>P.H</t>
  </si>
  <si>
    <t>0750559794</t>
  </si>
  <si>
    <t>MTI-P-0001-RBG</t>
  </si>
  <si>
    <t>S.H</t>
  </si>
  <si>
    <t>MTI-P-0002-RBG QUESTIONAIRE NOT COMPLETED</t>
  </si>
  <si>
    <t>0701293859</t>
  </si>
  <si>
    <t>MTI-P-0003-RBG</t>
  </si>
  <si>
    <t>S.S.S</t>
  </si>
  <si>
    <t>MTI-P-0006-KAW QUESTIONNAIRE NOT COMPLETED</t>
  </si>
  <si>
    <t>B.K.C</t>
  </si>
  <si>
    <t>5WEEKS</t>
  </si>
  <si>
    <t>MTI-P-0007-KAW</t>
  </si>
  <si>
    <t>MTI-P-0008-KAW QUESTIONNAIRE NOT COMPLETED</t>
  </si>
  <si>
    <t>MTI-P-0010-KAW NO STUDY QUESTIONNAIRE</t>
  </si>
  <si>
    <t>MTI-P-0011-KAW NO STUDY QUESTIONNAIRE</t>
  </si>
  <si>
    <t>MTI-P-0026-KAW</t>
  </si>
  <si>
    <t>K.P</t>
  </si>
  <si>
    <t>0704599728</t>
  </si>
  <si>
    <t>MTI-P-0023-KAW</t>
  </si>
  <si>
    <t>0772097611</t>
  </si>
  <si>
    <t>MTI-P-0024-KAW</t>
  </si>
  <si>
    <t>0704417588</t>
  </si>
  <si>
    <t>96 WEEKS</t>
  </si>
  <si>
    <t>MTI-P-0013-RBG</t>
  </si>
  <si>
    <t>44 WEEKS</t>
  </si>
  <si>
    <t>041MTI-P</t>
  </si>
  <si>
    <t>W.K</t>
  </si>
  <si>
    <t>042MTI-P</t>
  </si>
  <si>
    <t>V.M</t>
  </si>
  <si>
    <t>ENGINEER</t>
  </si>
  <si>
    <t>045MTI-P</t>
  </si>
  <si>
    <t>M.M</t>
  </si>
  <si>
    <t>044MTI-P</t>
  </si>
  <si>
    <t>M.W</t>
  </si>
  <si>
    <t>046MTI-P</t>
  </si>
  <si>
    <t xml:space="preserve">YES ABDOMINAL DISCOMFORT, </t>
  </si>
  <si>
    <t>LOAD LIFTER</t>
  </si>
  <si>
    <t>047MTI-P</t>
  </si>
  <si>
    <t>R.M</t>
  </si>
  <si>
    <t>68 WEEKS</t>
  </si>
  <si>
    <t>048MTI-P</t>
  </si>
  <si>
    <t>M.A</t>
  </si>
  <si>
    <t>8  WEEKS</t>
  </si>
  <si>
    <t>050MTI-P</t>
  </si>
  <si>
    <t>M.N</t>
  </si>
  <si>
    <t>ADMINISTRATOR ASSINSTANT</t>
  </si>
  <si>
    <t>051MTI-P</t>
  </si>
  <si>
    <t>052MTI-P</t>
  </si>
  <si>
    <t>Y.S</t>
  </si>
  <si>
    <t>053MTI-P</t>
  </si>
  <si>
    <t>TEACHER</t>
  </si>
  <si>
    <t>054MTI-P</t>
  </si>
  <si>
    <t>S.O</t>
  </si>
  <si>
    <t>055MTI-P</t>
  </si>
  <si>
    <t>E.W</t>
  </si>
  <si>
    <t>056MTI-P</t>
  </si>
  <si>
    <t>24WEEKS</t>
  </si>
  <si>
    <t>BAKER</t>
  </si>
  <si>
    <t>059MTI-PM</t>
  </si>
  <si>
    <t>L.N</t>
  </si>
  <si>
    <t>060MTI-PM</t>
  </si>
  <si>
    <t>V.K</t>
  </si>
  <si>
    <t>061MTI-PM</t>
  </si>
  <si>
    <t>V.J</t>
  </si>
  <si>
    <t>3 weks</t>
  </si>
  <si>
    <t>3 weeks</t>
  </si>
  <si>
    <t>10 weeks</t>
  </si>
  <si>
    <t>yes. backache</t>
  </si>
  <si>
    <t>062MTI-PM</t>
  </si>
  <si>
    <t>YES, HEADACHES</t>
  </si>
  <si>
    <t>063MTI-P</t>
  </si>
  <si>
    <t>F.K</t>
  </si>
  <si>
    <t>064MTI-PM</t>
  </si>
  <si>
    <t>YES, VOMITTING</t>
  </si>
  <si>
    <t>065MTI-PM</t>
  </si>
  <si>
    <t>I.M</t>
  </si>
  <si>
    <t>TRUCK DRIVER</t>
  </si>
  <si>
    <t>COMPELETE PRIMARY</t>
  </si>
  <si>
    <t>066MTI-PM</t>
  </si>
  <si>
    <t>R.A</t>
  </si>
  <si>
    <t>067MTI-PM</t>
  </si>
  <si>
    <t>A.N</t>
  </si>
  <si>
    <t>068MTI-PM</t>
  </si>
  <si>
    <t>260 WEEKS</t>
  </si>
  <si>
    <t>069MTI-PM</t>
  </si>
  <si>
    <t>A.S</t>
  </si>
  <si>
    <t xml:space="preserve">YES ON ART </t>
  </si>
  <si>
    <t>070MTI-PM</t>
  </si>
  <si>
    <t>H.M</t>
  </si>
  <si>
    <t>058MTI-PM</t>
  </si>
  <si>
    <t>J.K</t>
  </si>
  <si>
    <t>057MTI-PM</t>
  </si>
  <si>
    <t>S.B</t>
  </si>
  <si>
    <t>049MTI-P</t>
  </si>
  <si>
    <t>S/N</t>
  </si>
  <si>
    <t>SIDN</t>
  </si>
  <si>
    <t>DATE</t>
  </si>
  <si>
    <t>FOLLOW UP MONTH</t>
  </si>
  <si>
    <t>PARTICIPANT INITIALS</t>
  </si>
  <si>
    <t>AGE</t>
  </si>
  <si>
    <t>WEIGHT IN KGS</t>
  </si>
  <si>
    <t>TEMP IN CENTIGRADE</t>
  </si>
  <si>
    <t>DYSPNEA</t>
  </si>
  <si>
    <t>TAKEN ARVS</t>
  </si>
  <si>
    <t>MONTH 5</t>
  </si>
  <si>
    <t>BW</t>
  </si>
  <si>
    <t>MONTH 2</t>
  </si>
  <si>
    <t>6-Jan-0203</t>
  </si>
  <si>
    <t>2 WEEK</t>
  </si>
  <si>
    <t>84 WEEKS</t>
  </si>
  <si>
    <t>23-SEPT-2022</t>
  </si>
  <si>
    <t>4TH-MAY-2022</t>
  </si>
  <si>
    <t>J,M</t>
  </si>
  <si>
    <t>13-SEPT-2022</t>
  </si>
  <si>
    <t>4TH -MAY-2022</t>
  </si>
  <si>
    <t>JOINT PAINS IN THE KNEES</t>
  </si>
  <si>
    <t>14-SEPT-2022</t>
  </si>
  <si>
    <t>27TH-APRIL-2022</t>
  </si>
  <si>
    <r>
      <rPr>
        <sz val="11"/>
        <color theme="1"/>
        <rFont val="Calibri"/>
      </rPr>
      <t>MTI-P-0022-KSY (</t>
    </r>
    <r>
      <rPr>
        <sz val="11"/>
        <color rgb="FF2F5496"/>
        <rFont val="Calibri"/>
      </rPr>
      <t>Followup)</t>
    </r>
  </si>
  <si>
    <t>MOMTH 2</t>
  </si>
  <si>
    <t>N.W</t>
  </si>
  <si>
    <r>
      <rPr>
        <sz val="11"/>
        <color theme="1"/>
        <rFont val="Calibri"/>
      </rPr>
      <t>MTI-P-0023-KSY (</t>
    </r>
    <r>
      <rPr>
        <sz val="11"/>
        <color rgb="FF2F5496"/>
        <rFont val="Calibri"/>
      </rPr>
      <t>FOLLOW UP)</t>
    </r>
  </si>
  <si>
    <r>
      <rPr>
        <sz val="11"/>
        <color theme="1"/>
        <rFont val="Calibri"/>
      </rPr>
      <t xml:space="preserve">MTI-P-0024-KSY ( </t>
    </r>
    <r>
      <rPr>
        <sz val="11"/>
        <color rgb="FF2F5496"/>
        <rFont val="Calibri"/>
      </rPr>
      <t>FOLLOW UP)</t>
    </r>
  </si>
  <si>
    <r>
      <rPr>
        <sz val="11"/>
        <color theme="1"/>
        <rFont val="Calibri"/>
      </rPr>
      <t>MTI-P-009-KSY (</t>
    </r>
    <r>
      <rPr>
        <sz val="11"/>
        <color rgb="FF44546A"/>
        <rFont val="Calibri"/>
      </rPr>
      <t>FOLLOW UP)</t>
    </r>
  </si>
  <si>
    <r>
      <rPr>
        <sz val="11"/>
        <color theme="1"/>
        <rFont val="Calibri"/>
      </rPr>
      <t>MTI-P-0029-KSY (</t>
    </r>
    <r>
      <rPr>
        <sz val="11"/>
        <color rgb="FF44546A"/>
        <rFont val="Calibri"/>
      </rPr>
      <t>FOLLOW UP)</t>
    </r>
  </si>
  <si>
    <r>
      <rPr>
        <sz val="11"/>
        <color theme="1"/>
        <rFont val="Calibri"/>
      </rPr>
      <t>MTI-P-0030-KSY (</t>
    </r>
    <r>
      <rPr>
        <sz val="11"/>
        <color rgb="FF44546A"/>
        <rFont val="Calibri"/>
      </rPr>
      <t>FOLLOW UP)</t>
    </r>
  </si>
  <si>
    <t>E.B</t>
  </si>
  <si>
    <r>
      <rPr>
        <sz val="11"/>
        <color theme="1"/>
        <rFont val="Calibri"/>
      </rPr>
      <t>MTI-P-0031-KSY (</t>
    </r>
    <r>
      <rPr>
        <sz val="11"/>
        <color rgb="FF44546A"/>
        <rFont val="Calibri"/>
      </rPr>
      <t xml:space="preserve"> follow up)</t>
    </r>
  </si>
  <si>
    <t>M.I</t>
  </si>
  <si>
    <t>J.S</t>
  </si>
  <si>
    <t>4TH-APR-2022</t>
  </si>
  <si>
    <t>LOWER JOINT PAIN IN THE KNEES, 2 WEEKS</t>
  </si>
  <si>
    <t>S.N</t>
  </si>
  <si>
    <t>EPIGASTRIC CENTRED PAIN</t>
  </si>
  <si>
    <t>EPIGASTRIC CENTRED ABDOMINAL PAIN AND GENERAL BODY WEAKNESS 8 WEEKS</t>
  </si>
  <si>
    <t>J.G.L</t>
  </si>
  <si>
    <t>MONTN 2</t>
  </si>
  <si>
    <t>LOWER JOINT PAINS IN THE KNEES</t>
  </si>
  <si>
    <t>HEADACHE 4 WEEKS</t>
  </si>
  <si>
    <t>LOWER ABDOMINAL PAIN</t>
  </si>
  <si>
    <t>MONTH2</t>
  </si>
  <si>
    <t>LOWER LIMB PAINS, 4 WEEKS</t>
  </si>
  <si>
    <t>MTI-P-101/KSY</t>
  </si>
  <si>
    <t>Month 2</t>
  </si>
  <si>
    <t>month 2</t>
  </si>
  <si>
    <t>MTI-P-0100-KSY</t>
  </si>
  <si>
    <t>M.G</t>
  </si>
  <si>
    <t>FLUE 3 WEEKS</t>
  </si>
  <si>
    <t>134 WEEKS</t>
  </si>
  <si>
    <t>JOINT PAINS</t>
  </si>
  <si>
    <t>13 WEEKS</t>
  </si>
  <si>
    <t>MOTNH 2</t>
  </si>
  <si>
    <t>K.J</t>
  </si>
  <si>
    <t xml:space="preserve">DOESNT REMEMBER </t>
  </si>
  <si>
    <t>MTI-P-0025-KTB</t>
  </si>
  <si>
    <t>B.J.M.V</t>
  </si>
  <si>
    <t>MTI-P-0024-KTB</t>
  </si>
  <si>
    <t>M.J.C</t>
  </si>
  <si>
    <t>2 MONTHS</t>
  </si>
  <si>
    <t>POOR APPETITE, GENERALIZED BODY WEAKNESS</t>
  </si>
  <si>
    <t>J.O</t>
  </si>
  <si>
    <t>59MTI-PM</t>
  </si>
  <si>
    <t>MONTHS 5</t>
  </si>
  <si>
    <t>059MTI-P</t>
  </si>
  <si>
    <t>8 WEKS</t>
  </si>
  <si>
    <t>058MTI-P</t>
  </si>
  <si>
    <t>STUDY INDENTIFICATION NUMBER</t>
  </si>
  <si>
    <t>STUDY SITE</t>
  </si>
  <si>
    <t>INITIALS</t>
  </si>
  <si>
    <t>WEIGHT</t>
  </si>
  <si>
    <t>TEMPERATURE</t>
  </si>
  <si>
    <t>WEEKS</t>
  </si>
  <si>
    <t>ON ART</t>
  </si>
  <si>
    <t>MTI-099-KSY/001</t>
  </si>
  <si>
    <t>KISENYI</t>
  </si>
  <si>
    <t>MTI-P-099-KSY-002</t>
  </si>
  <si>
    <t>B.J</t>
  </si>
  <si>
    <t>MTI-P-097-KSY-001</t>
  </si>
  <si>
    <t>K.D</t>
  </si>
  <si>
    <t>MTI-P-089-KSY-002</t>
  </si>
  <si>
    <t>YES, YEAST INFECTION</t>
  </si>
  <si>
    <t>MTI-P-098-KSY-001</t>
  </si>
  <si>
    <t>T.B</t>
  </si>
  <si>
    <t>MTI-P-096-KSY-001</t>
  </si>
  <si>
    <t>MTI-P-095-KSY-001</t>
  </si>
  <si>
    <t>A.A</t>
  </si>
  <si>
    <t>031MTI-P001</t>
  </si>
  <si>
    <t>MULAGO</t>
  </si>
  <si>
    <t>030MTI-P001</t>
  </si>
  <si>
    <t>030MTI-P002</t>
  </si>
  <si>
    <t>F.N</t>
  </si>
  <si>
    <t>030MTI-P003</t>
  </si>
  <si>
    <t>027MTI-P001</t>
  </si>
  <si>
    <t>019MTI-P001</t>
  </si>
  <si>
    <t>YES, ABDOMINAL PAINS</t>
  </si>
  <si>
    <t>015MTI-P002</t>
  </si>
  <si>
    <t>L.G</t>
  </si>
  <si>
    <t>015MTI-P001</t>
  </si>
  <si>
    <t>012MTI-P001</t>
  </si>
  <si>
    <t>003MTI-P003</t>
  </si>
  <si>
    <t>A.O</t>
  </si>
  <si>
    <t>001MTI-P001</t>
  </si>
  <si>
    <t>MTI-P-081-001</t>
  </si>
  <si>
    <t>F.A</t>
  </si>
  <si>
    <t>MTI-P-080-004</t>
  </si>
  <si>
    <t>MTI-P-080-001</t>
  </si>
  <si>
    <t>T.H</t>
  </si>
  <si>
    <t>MTI-P-080-002</t>
  </si>
  <si>
    <t>N.R</t>
  </si>
  <si>
    <t>MTI-P-079-001</t>
  </si>
  <si>
    <t>MTI-P-077-KSY-001</t>
  </si>
  <si>
    <t>MTI-P-077-KSY-002</t>
  </si>
  <si>
    <t>MTI-P-074-KSY-001</t>
  </si>
  <si>
    <t>MTI-P-073-KSY-001</t>
  </si>
  <si>
    <t>MTI-P-073-KSY-002</t>
  </si>
  <si>
    <t>MTI-P-070-KSY-002</t>
  </si>
  <si>
    <t>MTI-P-069-KSY-001</t>
  </si>
  <si>
    <t>A.L</t>
  </si>
  <si>
    <t>MTI-P-068-KSY-001</t>
  </si>
  <si>
    <t>MTI-P-067-KSY-001</t>
  </si>
  <si>
    <t>MTI-P-066-KSY-001</t>
  </si>
  <si>
    <t>MTI-P-066-KSY-002</t>
  </si>
  <si>
    <t>N.H</t>
  </si>
  <si>
    <t>I.A</t>
  </si>
  <si>
    <t>MTI-P-0024-KAW-001</t>
  </si>
  <si>
    <t>KAWAALA</t>
  </si>
  <si>
    <t>7TH-NOV-2022</t>
  </si>
  <si>
    <t>047MTI-P-002</t>
  </si>
  <si>
    <t>NTINDA KIGOOWA</t>
  </si>
  <si>
    <t>047MTI-P002</t>
  </si>
  <si>
    <t>V.B</t>
  </si>
  <si>
    <t>041MTI-P002</t>
  </si>
  <si>
    <t>NANZIGA MAYA</t>
  </si>
  <si>
    <t>060MTI-PM001</t>
  </si>
  <si>
    <t>KYENGERA</t>
  </si>
  <si>
    <t>D.L</t>
  </si>
  <si>
    <t>059MTI-PM002</t>
  </si>
  <si>
    <t>KAWEMPE</t>
  </si>
  <si>
    <t>059MTI-PM001</t>
  </si>
  <si>
    <t>065MTI-PM001</t>
  </si>
  <si>
    <t>067MTI-PM001</t>
  </si>
  <si>
    <t>BIIRA</t>
  </si>
  <si>
    <t>R.S.B</t>
  </si>
  <si>
    <t>057MTI-PM001</t>
  </si>
  <si>
    <t>KYEBANDO</t>
  </si>
  <si>
    <t>C.N</t>
  </si>
  <si>
    <t>c</t>
  </si>
  <si>
    <r>
      <t xml:space="preserve">MTI-P-0033-KSY </t>
    </r>
    <r>
      <rPr>
        <sz val="11"/>
        <color rgb="FF44546A"/>
        <rFont val="Calibri"/>
      </rPr>
      <t>FOLLOWUP</t>
    </r>
  </si>
  <si>
    <r>
      <t xml:space="preserve">MTI-P-008-KSY( </t>
    </r>
    <r>
      <rPr>
        <sz val="11"/>
        <color rgb="FF2F5496"/>
        <rFont val="Calibri"/>
      </rPr>
      <t>follow up</t>
    </r>
    <r>
      <rPr>
        <sz val="11"/>
        <color theme="1"/>
        <rFont val="Calibri"/>
      </rPr>
      <t>)</t>
    </r>
  </si>
  <si>
    <t>MTI-P-008-KSY</t>
  </si>
  <si>
    <r>
      <t>MTI-P-004-KSY(</t>
    </r>
    <r>
      <rPr>
        <sz val="11"/>
        <color rgb="FF2F5496"/>
        <rFont val="Calibri"/>
      </rPr>
      <t>follow up</t>
    </r>
    <r>
      <rPr>
        <sz val="11"/>
        <color theme="1"/>
        <rFont val="Calibri"/>
      </rPr>
      <t>)</t>
    </r>
  </si>
  <si>
    <t>MTI-P-004-KSY</t>
  </si>
  <si>
    <t xml:space="preserve">MTI-P-0012-RBG </t>
  </si>
  <si>
    <t xml:space="preserve">MTI-P-0002-RBG </t>
  </si>
  <si>
    <t xml:space="preserve">MTI-P-0006-KAW </t>
  </si>
  <si>
    <t xml:space="preserve">MTI-P-0008-KAW </t>
  </si>
  <si>
    <t xml:space="preserve">MTI-P-0010-KAW </t>
  </si>
  <si>
    <t xml:space="preserve">MTI-P-0011-KAW </t>
  </si>
  <si>
    <t xml:space="preserve">Sample ID </t>
  </si>
  <si>
    <t>Sample ID</t>
  </si>
  <si>
    <t xml:space="preserve">MTI-P-0021-KSY </t>
  </si>
  <si>
    <t xml:space="preserve">MTI-P-0022-KSY </t>
  </si>
  <si>
    <t xml:space="preserve">MTI-P-0023-KSY </t>
  </si>
  <si>
    <t xml:space="preserve">MTI-P-0024-KSY </t>
  </si>
  <si>
    <t xml:space="preserve">MTI-P-009-KSY </t>
  </si>
  <si>
    <t xml:space="preserve">MTI-P-0039-KSY </t>
  </si>
  <si>
    <t xml:space="preserve">MTI-P-0040-KSY </t>
  </si>
  <si>
    <t xml:space="preserve">MTI-P-0046-KSY </t>
  </si>
  <si>
    <t xml:space="preserve">MTI-P-0029-KSY </t>
  </si>
  <si>
    <t xml:space="preserve">MTI-P-0030-KSY </t>
  </si>
  <si>
    <t xml:space="preserve">MTI-P-0031-KSY </t>
  </si>
  <si>
    <t xml:space="preserve">MTI-P-0033-KSY </t>
  </si>
  <si>
    <t>ID</t>
  </si>
  <si>
    <t>MTI-P-040</t>
  </si>
  <si>
    <t>MTI-P-039</t>
  </si>
  <si>
    <t>MTI-P-038</t>
  </si>
  <si>
    <t>MTI-P-037</t>
  </si>
  <si>
    <t>MTI-P-036</t>
  </si>
  <si>
    <t>MTI-P-035</t>
  </si>
  <si>
    <t>MTI-P-034</t>
  </si>
  <si>
    <t>MTI-P-032</t>
  </si>
  <si>
    <t>MTI-P-031</t>
  </si>
  <si>
    <t>MTI-P-030</t>
  </si>
  <si>
    <t>MTI-P-029</t>
  </si>
  <si>
    <t>MTI-P-028</t>
  </si>
  <si>
    <t>MTI-P-027</t>
  </si>
  <si>
    <t>MTI-P-026</t>
  </si>
  <si>
    <t>MTI-P-025</t>
  </si>
  <si>
    <t>MTI-P-024</t>
  </si>
  <si>
    <t>MTI-P-022</t>
  </si>
  <si>
    <t>MTI-P-021</t>
  </si>
  <si>
    <t>MTI-P-020</t>
  </si>
  <si>
    <t>MTI-P-019</t>
  </si>
  <si>
    <t>MTI-P-018</t>
  </si>
  <si>
    <t>MTI-P-017</t>
  </si>
  <si>
    <t>MTI-P-016</t>
  </si>
  <si>
    <t>MTI-P-015</t>
  </si>
  <si>
    <t>MTI-P-014</t>
  </si>
  <si>
    <t>MTI-P-013</t>
  </si>
  <si>
    <t>MTI-P-012</t>
  </si>
  <si>
    <t>MTI-P-011</t>
  </si>
  <si>
    <t>MTI-P-010</t>
  </si>
  <si>
    <t>MTI-P-009</t>
  </si>
  <si>
    <t>MTI-P-008</t>
  </si>
  <si>
    <t>MTI-P-007</t>
  </si>
  <si>
    <t>MTI-P-006</t>
  </si>
  <si>
    <t>MTI-P-005</t>
  </si>
  <si>
    <t>MTI-P-004</t>
  </si>
  <si>
    <t>MTI-P-003</t>
  </si>
  <si>
    <t>MTI-P-002</t>
  </si>
  <si>
    <t>MTI-P-001</t>
  </si>
  <si>
    <t>MTI-P-033</t>
  </si>
  <si>
    <t>MTI-P-045</t>
  </si>
  <si>
    <t>MTI-P-041</t>
  </si>
  <si>
    <t>MTI-P-042</t>
  </si>
  <si>
    <t>MTI-P-044</t>
  </si>
  <si>
    <t>MTI-P-046</t>
  </si>
  <si>
    <t>MTI-P-047</t>
  </si>
  <si>
    <t>MTI-P-048</t>
  </si>
  <si>
    <t>MTI-P-050</t>
  </si>
  <si>
    <t>MTI-P-051</t>
  </si>
  <si>
    <t>MTI-P-052</t>
  </si>
  <si>
    <t>MTI-P-053</t>
  </si>
  <si>
    <t>MTI-P-054</t>
  </si>
  <si>
    <t>MTI-P-055</t>
  </si>
  <si>
    <t>MTI-P-056</t>
  </si>
  <si>
    <t>MTI-PM-059</t>
  </si>
  <si>
    <t>MTI-PM-060</t>
  </si>
  <si>
    <t>MTI-PM-061</t>
  </si>
  <si>
    <t>MTI-PM-062</t>
  </si>
  <si>
    <t>MTI-P-063</t>
  </si>
  <si>
    <t>MTI-PM-064</t>
  </si>
  <si>
    <t>MTI-PM-065</t>
  </si>
  <si>
    <t>MTI-PM-066</t>
  </si>
  <si>
    <t>MTI-PM-067</t>
  </si>
  <si>
    <t>MTI-PM-068</t>
  </si>
  <si>
    <t>MTI-PM-069</t>
  </si>
  <si>
    <t>MTI-PM-070</t>
  </si>
  <si>
    <t>MTI-PM-058</t>
  </si>
  <si>
    <t>MTI-PM-057</t>
  </si>
  <si>
    <t>MTI-P-049</t>
  </si>
  <si>
    <t>BASELINE</t>
  </si>
  <si>
    <t>RESULTS</t>
  </si>
  <si>
    <t>HEIGHT (M)</t>
  </si>
  <si>
    <t>COMOBIDITIES</t>
  </si>
  <si>
    <t>RISK FACTORS</t>
  </si>
  <si>
    <t>TB CONTACT</t>
  </si>
  <si>
    <t>ROOMS IN HOUSE</t>
  </si>
  <si>
    <t>COMPLICATIONS OF A TB PATIENT</t>
  </si>
  <si>
    <t>DRUG/REGIMEN</t>
  </si>
  <si>
    <t>TREATMENT OUTCOME</t>
  </si>
  <si>
    <t>MBTc Positive</t>
  </si>
  <si>
    <t>MTBc Negative</t>
  </si>
  <si>
    <t>MTBc Positive</t>
  </si>
  <si>
    <t>No Growth</t>
  </si>
  <si>
    <t>No Conversion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</si>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</sst>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\-mmmm\-yyyy"/>
    <numFmt numFmtId="165" formatCode="d\-mmm\-yyyy"/>
    <numFmt numFmtId="166" formatCode="m\-d\-yyyy"/>
    <numFmt numFmtId="167" formatCode="mm\-dd\-yyyy"/>
    <numFmt numFmtId="168" formatCode="mmmm/d/yyyy"/>
    <numFmt numFmtId="169" formatCode="dd\-mmmm\-yyyy"/>
    <numFmt numFmtId="170" formatCode="dd\-mmm\-yyyy"/>
    <numFmt numFmtId="171" formatCode="yyyy\,\ mmmm"/>
    <numFmt numFmtId="172" formatCode="d\-mmmm\ yyyy"/>
    <numFmt numFmtId="173" formatCode="d\-mmmyyyy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Arial"/>
    </font>
    <font>
      <sz val="11"/>
      <color rgb="FF000000"/>
      <name val="Calibri"/>
    </font>
    <font>
      <sz val="11"/>
      <color rgb="FFFF0000"/>
      <name val="Calibri"/>
    </font>
    <font>
      <sz val="11"/>
      <color rgb="FFC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2F5496"/>
      <name val="Calibri"/>
    </font>
    <font>
      <sz val="11"/>
      <color rgb="FF44546A"/>
      <name val="Calibri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theme="7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C0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5" fontId="1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7" fontId="1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15" fontId="3" fillId="2" borderId="1" xfId="0" applyNumberFormat="1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/>
    </xf>
    <xf numFmtId="165" fontId="1" fillId="2" borderId="1" xfId="0" applyNumberFormat="1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15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left" vertical="top"/>
    </xf>
    <xf numFmtId="167" fontId="1" fillId="0" borderId="1" xfId="0" applyNumberFormat="1" applyFont="1" applyBorder="1" applyAlignment="1">
      <alignment horizontal="left" vertical="top"/>
    </xf>
    <xf numFmtId="168" fontId="1" fillId="0" borderId="1" xfId="0" applyNumberFormat="1" applyFont="1" applyBorder="1" applyAlignment="1">
      <alignment horizontal="left" vertical="top"/>
    </xf>
    <xf numFmtId="169" fontId="1" fillId="0" borderId="1" xfId="0" applyNumberFormat="1" applyFont="1" applyBorder="1" applyAlignment="1">
      <alignment horizontal="left" vertical="top"/>
    </xf>
    <xf numFmtId="170" fontId="1" fillId="0" borderId="1" xfId="0" applyNumberFormat="1" applyFont="1" applyBorder="1" applyAlignment="1">
      <alignment horizontal="left" vertical="top"/>
    </xf>
    <xf numFmtId="0" fontId="5" fillId="0" borderId="1" xfId="0" quotePrefix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71" fontId="1" fillId="0" borderId="1" xfId="0" applyNumberFormat="1" applyFont="1" applyBorder="1" applyAlignment="1">
      <alignment horizontal="left" vertical="top"/>
    </xf>
    <xf numFmtId="172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6" fillId="6" borderId="1" xfId="0" applyFont="1" applyFill="1" applyBorder="1"/>
    <xf numFmtId="0" fontId="1" fillId="0" borderId="1" xfId="0" applyFont="1" applyBorder="1"/>
    <xf numFmtId="165" fontId="1" fillId="0" borderId="1" xfId="0" applyNumberFormat="1" applyFont="1" applyBorder="1"/>
    <xf numFmtId="0" fontId="8" fillId="0" borderId="1" xfId="0" applyFont="1" applyBorder="1"/>
    <xf numFmtId="173" fontId="1" fillId="0" borderId="1" xfId="0" applyNumberFormat="1" applyFont="1" applyBorder="1"/>
    <xf numFmtId="0" fontId="5" fillId="0" borderId="1" xfId="0" applyFont="1" applyBorder="1"/>
    <xf numFmtId="165" fontId="8" fillId="0" borderId="1" xfId="0" applyNumberFormat="1" applyFont="1" applyBorder="1"/>
    <xf numFmtId="164" fontId="8" fillId="0" borderId="1" xfId="0" applyNumberFormat="1" applyFont="1" applyBorder="1"/>
    <xf numFmtId="0" fontId="8" fillId="0" borderId="0" xfId="0" applyFont="1"/>
    <xf numFmtId="165" fontId="8" fillId="0" borderId="0" xfId="0" applyNumberFormat="1" applyFont="1"/>
    <xf numFmtId="0" fontId="12" fillId="3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top"/>
    </xf>
    <xf numFmtId="0" fontId="0" fillId="10" borderId="0" xfId="0" applyFill="1"/>
    <xf numFmtId="0" fontId="0" fillId="0" borderId="2" xfId="0" applyBorder="1" applyAlignment="1">
      <alignment horizontal="left" vertical="top"/>
    </xf>
    <xf numFmtId="0" fontId="12" fillId="3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15" fontId="3" fillId="2" borderId="2" xfId="0" applyNumberFormat="1" applyFont="1" applyFill="1" applyBorder="1" applyAlignment="1">
      <alignment horizontal="left" vertical="top"/>
    </xf>
    <xf numFmtId="164" fontId="1" fillId="2" borderId="2" xfId="0" applyNumberFormat="1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65" fontId="1" fillId="2" borderId="2" xfId="0" applyNumberFormat="1" applyFont="1" applyFill="1" applyBorder="1" applyAlignment="1">
      <alignment horizontal="left" vertical="top"/>
    </xf>
    <xf numFmtId="14" fontId="1" fillId="2" borderId="2" xfId="0" applyNumberFormat="1" applyFont="1" applyFill="1" applyBorder="1" applyAlignment="1">
      <alignment horizontal="left" vertical="top"/>
    </xf>
    <xf numFmtId="15" fontId="1" fillId="0" borderId="2" xfId="0" applyNumberFormat="1" applyFont="1" applyBorder="1" applyAlignment="1">
      <alignment horizontal="left" vertical="top"/>
    </xf>
    <xf numFmtId="15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14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166" fontId="1" fillId="0" borderId="2" xfId="0" applyNumberFormat="1" applyFont="1" applyBorder="1" applyAlignment="1">
      <alignment horizontal="left" vertical="top"/>
    </xf>
    <xf numFmtId="167" fontId="1" fillId="0" borderId="2" xfId="0" applyNumberFormat="1" applyFont="1" applyBorder="1" applyAlignment="1">
      <alignment horizontal="left" vertical="top"/>
    </xf>
    <xf numFmtId="168" fontId="1" fillId="0" borderId="2" xfId="0" applyNumberFormat="1" applyFont="1" applyBorder="1" applyAlignment="1">
      <alignment horizontal="left" vertical="top"/>
    </xf>
    <xf numFmtId="169" fontId="1" fillId="0" borderId="2" xfId="0" applyNumberFormat="1" applyFont="1" applyBorder="1" applyAlignment="1">
      <alignment horizontal="left" vertical="top"/>
    </xf>
    <xf numFmtId="170" fontId="1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172" fontId="1" fillId="0" borderId="2" xfId="0" applyNumberFormat="1" applyFont="1" applyBorder="1" applyAlignment="1">
      <alignment horizontal="left" vertical="top"/>
    </xf>
    <xf numFmtId="0" fontId="0" fillId="0" borderId="2" xfId="0" applyBorder="1"/>
    <xf numFmtId="0" fontId="12" fillId="2" borderId="2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7" borderId="2" xfId="0" applyFont="1" applyFill="1" applyBorder="1" applyAlignment="1">
      <alignment horizontal="left" vertical="top"/>
    </xf>
    <xf numFmtId="0" fontId="12" fillId="12" borderId="2" xfId="0" applyFont="1" applyFill="1" applyBorder="1" applyAlignment="1">
      <alignment horizontal="left" vertical="top"/>
    </xf>
    <xf numFmtId="0" fontId="12" fillId="13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91"/>
  <sheetViews>
    <sheetView topLeftCell="C1" workbookViewId="0">
      <pane ySplit="1" topLeftCell="A2" activePane="bottomLeft" state="frozen"/>
      <selection pane="bottomLeft" activeCell="G1" sqref="G1:G1048576"/>
    </sheetView>
  </sheetViews>
  <sheetFormatPr defaultColWidth="14.44140625" defaultRowHeight="15" customHeight="1" x14ac:dyDescent="0.3"/>
  <cols>
    <col min="1" max="1" width="3.88671875" customWidth="1"/>
    <col min="2" max="2" width="31.109375" customWidth="1"/>
    <col min="3" max="3" width="30.88671875" customWidth="1"/>
    <col min="4" max="4" width="39.6640625" customWidth="1"/>
    <col min="5" max="5" width="8.6640625" customWidth="1"/>
    <col min="6" max="6" width="6.5546875" customWidth="1"/>
    <col min="7" max="7" width="8.6640625" customWidth="1"/>
    <col min="8" max="8" width="9.5546875" customWidth="1"/>
    <col min="9" max="9" width="19.5546875" customWidth="1"/>
    <col min="10" max="10" width="20.5546875" customWidth="1"/>
    <col min="11" max="11" width="23.6640625" customWidth="1"/>
    <col min="12" max="13" width="23.109375" customWidth="1"/>
    <col min="14" max="14" width="8.6640625" customWidth="1"/>
    <col min="15" max="15" width="25" customWidth="1"/>
    <col min="16" max="18" width="8.6640625" customWidth="1"/>
    <col min="19" max="19" width="20" customWidth="1"/>
    <col min="20" max="20" width="8.6640625" customWidth="1"/>
    <col min="21" max="21" width="16.109375" customWidth="1"/>
    <col min="22" max="22" width="11.44140625" customWidth="1"/>
    <col min="23" max="23" width="16.44140625" customWidth="1"/>
    <col min="24" max="24" width="11.44140625" customWidth="1"/>
    <col min="25" max="30" width="8.6640625" customWidth="1"/>
    <col min="31" max="31" width="42.44140625" customWidth="1"/>
    <col min="32" max="32" width="8.6640625" customWidth="1"/>
    <col min="33" max="33" width="28.44140625" customWidth="1"/>
    <col min="34" max="34" width="18.6640625" customWidth="1"/>
    <col min="35" max="35" width="24.5546875" customWidth="1"/>
    <col min="36" max="36" width="26.88671875" customWidth="1"/>
    <col min="37" max="37" width="28.88671875" customWidth="1"/>
    <col min="38" max="38" width="44.5546875" customWidth="1"/>
    <col min="39" max="39" width="14.6640625" customWidth="1"/>
    <col min="40" max="40" width="33" customWidth="1"/>
    <col min="41" max="41" width="14.88671875" customWidth="1"/>
    <col min="42" max="42" width="15" style="52" customWidth="1"/>
    <col min="43" max="43" width="43.5546875" style="52" customWidth="1"/>
    <col min="44" max="44" width="29.44140625" customWidth="1"/>
    <col min="45" max="45" width="14.5546875" customWidth="1"/>
    <col min="46" max="46" width="24.5546875" customWidth="1"/>
    <col min="47" max="47" width="11.109375" customWidth="1"/>
    <col min="48" max="48" width="12.5546875" customWidth="1"/>
  </cols>
  <sheetData>
    <row r="1" spans="1:48" ht="14.4" x14ac:dyDescent="0.3">
      <c r="A1" s="1"/>
      <c r="B1" s="2" t="s">
        <v>0</v>
      </c>
      <c r="C1" s="2" t="s">
        <v>882</v>
      </c>
      <c r="D1" s="2" t="s">
        <v>869</v>
      </c>
      <c r="E1" s="2" t="s">
        <v>1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/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15</v>
      </c>
      <c r="W1" s="4" t="s">
        <v>17</v>
      </c>
      <c r="X1" s="4" t="s">
        <v>15</v>
      </c>
      <c r="Y1" s="4" t="s">
        <v>18</v>
      </c>
      <c r="Z1" s="4" t="s">
        <v>15</v>
      </c>
      <c r="AA1" s="4" t="s">
        <v>19</v>
      </c>
      <c r="AB1" s="4" t="s">
        <v>15</v>
      </c>
      <c r="AC1" s="4" t="s">
        <v>20</v>
      </c>
      <c r="AD1" s="4" t="s">
        <v>15</v>
      </c>
      <c r="AE1" s="4" t="s">
        <v>21</v>
      </c>
      <c r="AF1" s="4" t="s">
        <v>15</v>
      </c>
      <c r="AG1" s="3" t="s">
        <v>22</v>
      </c>
      <c r="AH1" s="3" t="s">
        <v>23</v>
      </c>
      <c r="AI1" s="3" t="s">
        <v>24</v>
      </c>
      <c r="AJ1" s="3" t="s">
        <v>25</v>
      </c>
      <c r="AK1" s="3" t="s">
        <v>26</v>
      </c>
      <c r="AL1" s="3" t="s">
        <v>27</v>
      </c>
      <c r="AM1" s="3" t="s">
        <v>28</v>
      </c>
      <c r="AN1" s="3" t="s">
        <v>29</v>
      </c>
      <c r="AO1" s="47" t="s">
        <v>956</v>
      </c>
      <c r="AP1" s="48" t="s">
        <v>30</v>
      </c>
      <c r="AQ1" s="48" t="s">
        <v>31</v>
      </c>
      <c r="AR1" s="3" t="s">
        <v>32</v>
      </c>
      <c r="AS1" s="5" t="s">
        <v>33</v>
      </c>
      <c r="AT1" s="47" t="s">
        <v>957</v>
      </c>
      <c r="AU1" s="3"/>
      <c r="AV1" s="3" t="s">
        <v>34</v>
      </c>
    </row>
    <row r="2" spans="1:48" ht="14.4" x14ac:dyDescent="0.3">
      <c r="A2" s="9">
        <v>5</v>
      </c>
      <c r="B2" s="10">
        <v>44894</v>
      </c>
      <c r="C2" s="7" t="s">
        <v>66</v>
      </c>
      <c r="D2" s="7" t="s">
        <v>66</v>
      </c>
      <c r="E2" s="7" t="s">
        <v>67</v>
      </c>
      <c r="F2" s="7" t="s">
        <v>36</v>
      </c>
      <c r="G2" s="7">
        <v>42</v>
      </c>
      <c r="H2" s="7">
        <v>753988900</v>
      </c>
      <c r="I2" s="7" t="s">
        <v>68</v>
      </c>
      <c r="J2" s="7" t="s">
        <v>69</v>
      </c>
      <c r="K2" s="7">
        <v>80</v>
      </c>
      <c r="L2" s="7">
        <v>173</v>
      </c>
      <c r="M2" s="7">
        <f>L2/100</f>
        <v>1.73</v>
      </c>
      <c r="N2" s="7">
        <f>K2/(M2*M2)</f>
        <v>26.729927495071667</v>
      </c>
      <c r="O2" s="7" t="s">
        <v>39</v>
      </c>
      <c r="P2" s="7">
        <v>36</v>
      </c>
      <c r="Q2" s="7" t="s">
        <v>38</v>
      </c>
      <c r="R2" s="7" t="s">
        <v>70</v>
      </c>
      <c r="S2" s="7" t="s">
        <v>41</v>
      </c>
      <c r="T2" s="7" t="s">
        <v>69</v>
      </c>
      <c r="U2" s="7" t="s">
        <v>41</v>
      </c>
      <c r="V2" s="7" t="s">
        <v>69</v>
      </c>
      <c r="W2" s="7" t="s">
        <v>41</v>
      </c>
      <c r="X2" s="7" t="s">
        <v>69</v>
      </c>
      <c r="Y2" s="7" t="s">
        <v>41</v>
      </c>
      <c r="Z2" s="7" t="s">
        <v>69</v>
      </c>
      <c r="AA2" s="7" t="s">
        <v>41</v>
      </c>
      <c r="AB2" s="7" t="s">
        <v>69</v>
      </c>
      <c r="AC2" s="7" t="s">
        <v>41</v>
      </c>
      <c r="AD2" s="7" t="s">
        <v>69</v>
      </c>
      <c r="AE2" s="7" t="s">
        <v>41</v>
      </c>
      <c r="AF2" s="7" t="s">
        <v>69</v>
      </c>
      <c r="AG2" s="7" t="s">
        <v>41</v>
      </c>
      <c r="AH2" s="7" t="s">
        <v>41</v>
      </c>
      <c r="AI2" s="7" t="s">
        <v>41</v>
      </c>
      <c r="AJ2" s="7" t="s">
        <v>41</v>
      </c>
      <c r="AK2" s="7" t="s">
        <v>41</v>
      </c>
      <c r="AL2" s="7" t="s">
        <v>41</v>
      </c>
      <c r="AM2" s="7"/>
      <c r="AN2" s="7" t="s">
        <v>41</v>
      </c>
      <c r="AO2" s="7"/>
      <c r="AP2" s="49" t="s">
        <v>71</v>
      </c>
      <c r="AQ2" s="49" t="s">
        <v>72</v>
      </c>
      <c r="AR2" s="7">
        <v>4</v>
      </c>
      <c r="AS2" s="7"/>
      <c r="AT2" s="7">
        <v>2</v>
      </c>
      <c r="AU2" s="7"/>
      <c r="AV2" s="7" t="s">
        <v>58</v>
      </c>
    </row>
    <row r="3" spans="1:48" ht="14.4" x14ac:dyDescent="0.3">
      <c r="A3" s="1">
        <v>6</v>
      </c>
      <c r="B3" s="11">
        <v>44705</v>
      </c>
      <c r="C3" s="7" t="s">
        <v>73</v>
      </c>
      <c r="D3" s="7" t="s">
        <v>73</v>
      </c>
      <c r="E3" s="7" t="s">
        <v>74</v>
      </c>
      <c r="F3" s="7" t="s">
        <v>36</v>
      </c>
      <c r="G3" s="7">
        <v>29</v>
      </c>
      <c r="H3" s="7"/>
      <c r="I3" s="7" t="s">
        <v>37</v>
      </c>
      <c r="J3" s="7" t="s">
        <v>38</v>
      </c>
      <c r="K3" s="7" t="s">
        <v>69</v>
      </c>
      <c r="L3" s="7" t="s">
        <v>69</v>
      </c>
      <c r="M3" s="7" t="e">
        <f t="shared" ref="M3:M66" si="0">L3/100</f>
        <v>#VALUE!</v>
      </c>
      <c r="N3" s="7" t="e">
        <f t="shared" ref="N3:N66" si="1">K3/(M3*M3)</f>
        <v>#VALUE!</v>
      </c>
      <c r="O3" s="7" t="s">
        <v>69</v>
      </c>
      <c r="P3" s="7" t="s">
        <v>69</v>
      </c>
      <c r="Q3" s="7" t="s">
        <v>38</v>
      </c>
      <c r="R3" s="7" t="s">
        <v>65</v>
      </c>
      <c r="S3" s="7" t="s">
        <v>41</v>
      </c>
      <c r="T3" s="7" t="s">
        <v>65</v>
      </c>
      <c r="U3" s="7" t="s">
        <v>41</v>
      </c>
      <c r="V3" s="7" t="s">
        <v>65</v>
      </c>
      <c r="W3" s="7" t="s">
        <v>41</v>
      </c>
      <c r="X3" s="7" t="s">
        <v>65</v>
      </c>
      <c r="Y3" s="7" t="s">
        <v>41</v>
      </c>
      <c r="Z3" s="7"/>
      <c r="AA3" s="7" t="s">
        <v>41</v>
      </c>
      <c r="AB3" s="7"/>
      <c r="AC3" s="7" t="s">
        <v>41</v>
      </c>
      <c r="AD3" s="7"/>
      <c r="AE3" s="7" t="s">
        <v>41</v>
      </c>
      <c r="AF3" s="7"/>
      <c r="AG3" s="7" t="s">
        <v>41</v>
      </c>
      <c r="AH3" s="7" t="s">
        <v>41</v>
      </c>
      <c r="AI3" s="7" t="s">
        <v>41</v>
      </c>
      <c r="AJ3" s="7" t="s">
        <v>41</v>
      </c>
      <c r="AK3" s="7" t="s">
        <v>41</v>
      </c>
      <c r="AL3" s="7" t="s">
        <v>38</v>
      </c>
      <c r="AM3" s="7">
        <v>2021</v>
      </c>
      <c r="AN3" s="7" t="s">
        <v>41</v>
      </c>
      <c r="AO3" s="7"/>
      <c r="AP3" s="49" t="s">
        <v>41</v>
      </c>
      <c r="AQ3" s="49" t="s">
        <v>72</v>
      </c>
      <c r="AR3" s="7">
        <v>2</v>
      </c>
      <c r="AS3" s="7"/>
      <c r="AT3" s="7">
        <v>1</v>
      </c>
      <c r="AU3" s="7"/>
      <c r="AV3" s="7" t="s">
        <v>58</v>
      </c>
    </row>
    <row r="4" spans="1:48" ht="14.4" x14ac:dyDescent="0.3">
      <c r="A4" s="1">
        <v>7</v>
      </c>
      <c r="B4" s="11">
        <v>44697</v>
      </c>
      <c r="C4" s="7" t="s">
        <v>75</v>
      </c>
      <c r="D4" s="7" t="s">
        <v>75</v>
      </c>
      <c r="E4" s="7" t="s">
        <v>76</v>
      </c>
      <c r="F4" s="7" t="s">
        <v>36</v>
      </c>
      <c r="G4" s="7">
        <v>38</v>
      </c>
      <c r="H4" s="7">
        <v>704868532</v>
      </c>
      <c r="I4" s="7" t="s">
        <v>68</v>
      </c>
      <c r="J4" s="7" t="s">
        <v>69</v>
      </c>
      <c r="K4" s="7">
        <v>55</v>
      </c>
      <c r="L4" s="7">
        <v>175</v>
      </c>
      <c r="M4" s="7">
        <f t="shared" si="0"/>
        <v>1.75</v>
      </c>
      <c r="N4" s="7">
        <f t="shared" si="1"/>
        <v>17.959183673469386</v>
      </c>
      <c r="O4" s="7" t="s">
        <v>39</v>
      </c>
      <c r="P4" s="7">
        <v>38.299999999999997</v>
      </c>
      <c r="Q4" s="7" t="s">
        <v>38</v>
      </c>
      <c r="R4" s="7" t="s">
        <v>77</v>
      </c>
      <c r="S4" s="7" t="s">
        <v>38</v>
      </c>
      <c r="T4" s="7" t="s">
        <v>70</v>
      </c>
      <c r="U4" s="7" t="s">
        <v>38</v>
      </c>
      <c r="V4" s="7" t="s">
        <v>78</v>
      </c>
      <c r="W4" s="7" t="s">
        <v>38</v>
      </c>
      <c r="X4" s="7" t="s">
        <v>78</v>
      </c>
      <c r="Y4" s="7" t="s">
        <v>41</v>
      </c>
      <c r="Z4" s="7" t="s">
        <v>69</v>
      </c>
      <c r="AA4" s="7" t="s">
        <v>38</v>
      </c>
      <c r="AB4" s="7" t="s">
        <v>78</v>
      </c>
      <c r="AC4" s="7" t="s">
        <v>41</v>
      </c>
      <c r="AD4" s="7" t="s">
        <v>69</v>
      </c>
      <c r="AE4" s="7" t="s">
        <v>41</v>
      </c>
      <c r="AF4" s="7" t="s">
        <v>69</v>
      </c>
      <c r="AG4" s="7" t="s">
        <v>41</v>
      </c>
      <c r="AH4" s="7" t="s">
        <v>41</v>
      </c>
      <c r="AI4" s="7" t="s">
        <v>41</v>
      </c>
      <c r="AJ4" s="7" t="s">
        <v>41</v>
      </c>
      <c r="AK4" s="7" t="s">
        <v>41</v>
      </c>
      <c r="AL4" s="7" t="s">
        <v>41</v>
      </c>
      <c r="AM4" s="7" t="s">
        <v>41</v>
      </c>
      <c r="AN4" s="7" t="s">
        <v>41</v>
      </c>
      <c r="AO4" s="7"/>
      <c r="AP4" s="49" t="s">
        <v>79</v>
      </c>
      <c r="AQ4" s="49" t="s">
        <v>72</v>
      </c>
      <c r="AR4" s="7">
        <v>1</v>
      </c>
      <c r="AS4" s="7"/>
      <c r="AT4" s="7">
        <v>1</v>
      </c>
      <c r="AU4" s="7"/>
      <c r="AV4" s="7" t="s">
        <v>58</v>
      </c>
    </row>
    <row r="5" spans="1:48" ht="14.4" x14ac:dyDescent="0.3">
      <c r="A5" s="1">
        <v>8</v>
      </c>
      <c r="B5" s="11">
        <v>44697</v>
      </c>
      <c r="C5" s="7" t="s">
        <v>80</v>
      </c>
      <c r="D5" s="7" t="s">
        <v>80</v>
      </c>
      <c r="E5" s="7" t="s">
        <v>81</v>
      </c>
      <c r="F5" s="7" t="s">
        <v>36</v>
      </c>
      <c r="G5" s="7">
        <v>42</v>
      </c>
      <c r="H5" s="7">
        <v>701280711</v>
      </c>
      <c r="I5" s="7" t="s">
        <v>68</v>
      </c>
      <c r="J5" s="7" t="s">
        <v>69</v>
      </c>
      <c r="K5" s="7">
        <v>55</v>
      </c>
      <c r="L5" s="7">
        <v>180</v>
      </c>
      <c r="M5" s="7">
        <f t="shared" si="0"/>
        <v>1.8</v>
      </c>
      <c r="N5" s="7">
        <f t="shared" si="1"/>
        <v>16.975308641975307</v>
      </c>
      <c r="O5" s="7" t="s">
        <v>39</v>
      </c>
      <c r="P5" s="7">
        <v>37.4</v>
      </c>
      <c r="Q5" s="7" t="s">
        <v>38</v>
      </c>
      <c r="R5" s="7" t="s">
        <v>78</v>
      </c>
      <c r="S5" s="7" t="s">
        <v>38</v>
      </c>
      <c r="T5" s="7" t="s">
        <v>78</v>
      </c>
      <c r="U5" s="7" t="s">
        <v>38</v>
      </c>
      <c r="V5" s="7" t="s">
        <v>82</v>
      </c>
      <c r="W5" s="7" t="s">
        <v>38</v>
      </c>
      <c r="X5" s="7" t="s">
        <v>83</v>
      </c>
      <c r="Y5" s="7" t="s">
        <v>41</v>
      </c>
      <c r="Z5" s="7" t="s">
        <v>69</v>
      </c>
      <c r="AA5" s="7" t="s">
        <v>41</v>
      </c>
      <c r="AB5" s="7" t="s">
        <v>69</v>
      </c>
      <c r="AC5" s="7" t="s">
        <v>41</v>
      </c>
      <c r="AD5" s="7" t="s">
        <v>69</v>
      </c>
      <c r="AE5" s="7" t="s">
        <v>41</v>
      </c>
      <c r="AF5" s="7" t="s">
        <v>69</v>
      </c>
      <c r="AG5" s="7" t="s">
        <v>41</v>
      </c>
      <c r="AH5" s="7" t="s">
        <v>41</v>
      </c>
      <c r="AI5" s="7" t="s">
        <v>41</v>
      </c>
      <c r="AJ5" s="7" t="s">
        <v>41</v>
      </c>
      <c r="AK5" s="7" t="s">
        <v>41</v>
      </c>
      <c r="AL5" s="7" t="s">
        <v>41</v>
      </c>
      <c r="AM5" s="7" t="s">
        <v>41</v>
      </c>
      <c r="AN5" s="7" t="s">
        <v>41</v>
      </c>
      <c r="AO5" s="7"/>
      <c r="AP5" s="49" t="s">
        <v>84</v>
      </c>
      <c r="AQ5" s="49" t="s">
        <v>57</v>
      </c>
      <c r="AR5" s="7">
        <v>2</v>
      </c>
      <c r="AS5" s="7"/>
      <c r="AT5" s="7">
        <v>3</v>
      </c>
      <c r="AU5" s="7"/>
      <c r="AV5" s="7" t="s">
        <v>58</v>
      </c>
    </row>
    <row r="6" spans="1:48" ht="14.4" x14ac:dyDescent="0.3">
      <c r="A6" s="1">
        <v>9</v>
      </c>
      <c r="B6" s="7"/>
      <c r="C6" s="7" t="s">
        <v>85</v>
      </c>
      <c r="D6" s="7" t="s">
        <v>85</v>
      </c>
      <c r="E6" s="7" t="s">
        <v>86</v>
      </c>
      <c r="F6" s="7" t="s">
        <v>87</v>
      </c>
      <c r="G6" s="7">
        <v>34</v>
      </c>
      <c r="H6" s="7">
        <v>789882469</v>
      </c>
      <c r="I6" s="7" t="s">
        <v>37</v>
      </c>
      <c r="J6" s="7" t="s">
        <v>38</v>
      </c>
      <c r="K6" s="7">
        <v>44</v>
      </c>
      <c r="L6" s="7">
        <v>161</v>
      </c>
      <c r="M6" s="7">
        <f t="shared" si="0"/>
        <v>1.61</v>
      </c>
      <c r="N6" s="7">
        <f t="shared" si="1"/>
        <v>16.974653755642141</v>
      </c>
      <c r="O6" s="7" t="s">
        <v>39</v>
      </c>
      <c r="P6" s="7">
        <v>37</v>
      </c>
      <c r="Q6" s="7" t="s">
        <v>38</v>
      </c>
      <c r="R6" s="7" t="s">
        <v>70</v>
      </c>
      <c r="S6" s="7" t="s">
        <v>38</v>
      </c>
      <c r="T6" s="7" t="s">
        <v>70</v>
      </c>
      <c r="U6" s="7" t="s">
        <v>38</v>
      </c>
      <c r="V6" s="7" t="s">
        <v>78</v>
      </c>
      <c r="W6" s="7" t="s">
        <v>38</v>
      </c>
      <c r="X6" s="7" t="s">
        <v>82</v>
      </c>
      <c r="Y6" s="7" t="s">
        <v>41</v>
      </c>
      <c r="Z6" s="7" t="s">
        <v>69</v>
      </c>
      <c r="AA6" s="7" t="s">
        <v>41</v>
      </c>
      <c r="AB6" s="7" t="s">
        <v>69</v>
      </c>
      <c r="AC6" s="7" t="s">
        <v>41</v>
      </c>
      <c r="AD6" s="7" t="s">
        <v>69</v>
      </c>
      <c r="AE6" s="7" t="s">
        <v>41</v>
      </c>
      <c r="AF6" s="7" t="s">
        <v>69</v>
      </c>
      <c r="AG6" s="7" t="s">
        <v>41</v>
      </c>
      <c r="AH6" s="7" t="s">
        <v>41</v>
      </c>
      <c r="AI6" s="7" t="s">
        <v>41</v>
      </c>
      <c r="AJ6" s="7" t="s">
        <v>41</v>
      </c>
      <c r="AK6" s="7" t="s">
        <v>41</v>
      </c>
      <c r="AL6" s="7" t="s">
        <v>41</v>
      </c>
      <c r="AM6" s="7" t="s">
        <v>41</v>
      </c>
      <c r="AN6" s="7" t="s">
        <v>41</v>
      </c>
      <c r="AO6" s="7"/>
      <c r="AP6" s="49" t="s">
        <v>88</v>
      </c>
      <c r="AQ6" s="49" t="s">
        <v>72</v>
      </c>
      <c r="AR6" s="7">
        <v>2</v>
      </c>
      <c r="AS6" s="7"/>
      <c r="AT6" s="7">
        <v>2</v>
      </c>
      <c r="AU6" s="7"/>
      <c r="AV6" s="7" t="s">
        <v>58</v>
      </c>
    </row>
    <row r="7" spans="1:48" ht="14.4" x14ac:dyDescent="0.3">
      <c r="A7" s="1">
        <v>11</v>
      </c>
      <c r="B7" s="11">
        <v>44700</v>
      </c>
      <c r="C7" s="7" t="s">
        <v>90</v>
      </c>
      <c r="D7" s="7" t="s">
        <v>90</v>
      </c>
      <c r="E7" s="7" t="s">
        <v>91</v>
      </c>
      <c r="F7" s="7" t="s">
        <v>36</v>
      </c>
      <c r="G7" s="7">
        <v>44</v>
      </c>
      <c r="H7" s="12" t="s">
        <v>92</v>
      </c>
      <c r="I7" s="7" t="s">
        <v>93</v>
      </c>
      <c r="J7" s="7" t="s">
        <v>41</v>
      </c>
      <c r="K7" s="7">
        <v>60</v>
      </c>
      <c r="L7" s="7">
        <v>159</v>
      </c>
      <c r="M7" s="7">
        <f t="shared" si="0"/>
        <v>1.59</v>
      </c>
      <c r="N7" s="7">
        <f t="shared" si="1"/>
        <v>23.733238400379729</v>
      </c>
      <c r="O7" s="7" t="s">
        <v>39</v>
      </c>
      <c r="P7" s="7">
        <v>37.299999999999997</v>
      </c>
      <c r="Q7" s="7" t="s">
        <v>38</v>
      </c>
      <c r="R7" s="7" t="s">
        <v>78</v>
      </c>
      <c r="S7" s="7" t="s">
        <v>41</v>
      </c>
      <c r="T7" s="7" t="s">
        <v>69</v>
      </c>
      <c r="U7" s="7" t="s">
        <v>41</v>
      </c>
      <c r="V7" s="7" t="s">
        <v>69</v>
      </c>
      <c r="W7" s="7" t="s">
        <v>41</v>
      </c>
      <c r="X7" s="7" t="s">
        <v>69</v>
      </c>
      <c r="Y7" s="7" t="s">
        <v>41</v>
      </c>
      <c r="Z7" s="7" t="s">
        <v>69</v>
      </c>
      <c r="AA7" s="7" t="s">
        <v>41</v>
      </c>
      <c r="AB7" s="7" t="s">
        <v>69</v>
      </c>
      <c r="AC7" s="7" t="s">
        <v>41</v>
      </c>
      <c r="AD7" s="7" t="s">
        <v>69</v>
      </c>
      <c r="AE7" s="7" t="s">
        <v>41</v>
      </c>
      <c r="AF7" s="7" t="s">
        <v>69</v>
      </c>
      <c r="AG7" s="7" t="s">
        <v>41</v>
      </c>
      <c r="AH7" s="7" t="s">
        <v>41</v>
      </c>
      <c r="AI7" s="7" t="s">
        <v>41</v>
      </c>
      <c r="AJ7" s="7" t="s">
        <v>41</v>
      </c>
      <c r="AK7" s="7" t="s">
        <v>41</v>
      </c>
      <c r="AL7" s="7" t="s">
        <v>41</v>
      </c>
      <c r="AM7" s="7" t="s">
        <v>41</v>
      </c>
      <c r="AN7" s="7" t="s">
        <v>41</v>
      </c>
      <c r="AO7" s="7"/>
      <c r="AP7" s="49" t="s">
        <v>94</v>
      </c>
      <c r="AQ7" s="49" t="s">
        <v>61</v>
      </c>
      <c r="AR7" s="7">
        <v>4</v>
      </c>
      <c r="AS7" s="7"/>
      <c r="AT7" s="7">
        <v>3</v>
      </c>
      <c r="AU7" s="7"/>
      <c r="AV7" s="7" t="s">
        <v>46</v>
      </c>
    </row>
    <row r="8" spans="1:48" ht="14.4" x14ac:dyDescent="0.3">
      <c r="A8" s="1">
        <v>12</v>
      </c>
      <c r="B8" s="13">
        <v>44213</v>
      </c>
      <c r="C8" s="7" t="s">
        <v>95</v>
      </c>
      <c r="D8" s="7" t="s">
        <v>95</v>
      </c>
      <c r="E8" s="7" t="s">
        <v>96</v>
      </c>
      <c r="F8" s="7" t="s">
        <v>36</v>
      </c>
      <c r="G8" s="7">
        <v>30</v>
      </c>
      <c r="H8" s="7"/>
      <c r="I8" s="7" t="s">
        <v>68</v>
      </c>
      <c r="J8" s="7"/>
      <c r="K8" s="7">
        <v>55</v>
      </c>
      <c r="L8" s="7">
        <v>182</v>
      </c>
      <c r="M8" s="7">
        <f t="shared" si="0"/>
        <v>1.82</v>
      </c>
      <c r="N8" s="7">
        <f t="shared" si="1"/>
        <v>16.604274846033086</v>
      </c>
      <c r="O8" s="7" t="s">
        <v>39</v>
      </c>
      <c r="P8" s="7" t="s">
        <v>69</v>
      </c>
      <c r="Q8" s="7" t="s">
        <v>38</v>
      </c>
      <c r="R8" s="7" t="s">
        <v>50</v>
      </c>
      <c r="S8" s="7" t="s">
        <v>38</v>
      </c>
      <c r="T8" s="7" t="s">
        <v>43</v>
      </c>
      <c r="U8" s="7" t="s">
        <v>38</v>
      </c>
      <c r="V8" s="7" t="s">
        <v>97</v>
      </c>
      <c r="W8" s="7" t="s">
        <v>41</v>
      </c>
      <c r="X8" s="7"/>
      <c r="Y8" s="7" t="s">
        <v>41</v>
      </c>
      <c r="Z8" s="7"/>
      <c r="AA8" s="7" t="s">
        <v>38</v>
      </c>
      <c r="AB8" s="7" t="s">
        <v>98</v>
      </c>
      <c r="AC8" s="7" t="s">
        <v>38</v>
      </c>
      <c r="AD8" s="7" t="s">
        <v>98</v>
      </c>
      <c r="AE8" s="7"/>
      <c r="AF8" s="7"/>
      <c r="AG8" s="7" t="s">
        <v>38</v>
      </c>
      <c r="AH8" s="7" t="s">
        <v>38</v>
      </c>
      <c r="AI8" s="7" t="s">
        <v>41</v>
      </c>
      <c r="AJ8" s="7" t="s">
        <v>38</v>
      </c>
      <c r="AK8" s="7" t="s">
        <v>38</v>
      </c>
      <c r="AL8" s="7" t="s">
        <v>41</v>
      </c>
      <c r="AM8" s="1" t="s">
        <v>41</v>
      </c>
      <c r="AN8" s="1" t="s">
        <v>41</v>
      </c>
      <c r="AO8" s="1"/>
      <c r="AP8" s="50" t="s">
        <v>71</v>
      </c>
      <c r="AQ8" s="50" t="s">
        <v>99</v>
      </c>
      <c r="AR8" s="1">
        <v>3</v>
      </c>
      <c r="AS8" s="1"/>
      <c r="AT8" s="1">
        <v>2</v>
      </c>
      <c r="AU8" s="1"/>
      <c r="AV8" s="7" t="s">
        <v>46</v>
      </c>
    </row>
    <row r="9" spans="1:48" ht="14.4" x14ac:dyDescent="0.3">
      <c r="A9" s="1">
        <v>13</v>
      </c>
      <c r="B9" s="14">
        <v>44784</v>
      </c>
      <c r="C9" s="7" t="s">
        <v>35</v>
      </c>
      <c r="D9" s="7" t="s">
        <v>35</v>
      </c>
      <c r="E9" s="7" t="s">
        <v>100</v>
      </c>
      <c r="F9" s="7" t="s">
        <v>36</v>
      </c>
      <c r="G9" s="7">
        <v>42</v>
      </c>
      <c r="H9" s="7"/>
      <c r="I9" s="7" t="s">
        <v>37</v>
      </c>
      <c r="J9" s="7" t="s">
        <v>38</v>
      </c>
      <c r="K9" s="7">
        <v>58</v>
      </c>
      <c r="L9" s="1">
        <v>158</v>
      </c>
      <c r="M9" s="7">
        <f t="shared" si="0"/>
        <v>1.58</v>
      </c>
      <c r="N9" s="7">
        <f t="shared" si="1"/>
        <v>23.233456176894723</v>
      </c>
      <c r="O9" s="1" t="s">
        <v>39</v>
      </c>
      <c r="P9" s="1">
        <v>34.6</v>
      </c>
      <c r="Q9" s="1" t="s">
        <v>38</v>
      </c>
      <c r="R9" s="1" t="s">
        <v>65</v>
      </c>
      <c r="S9" s="1" t="s">
        <v>41</v>
      </c>
      <c r="T9" s="1"/>
      <c r="U9" s="1" t="s">
        <v>38</v>
      </c>
      <c r="V9" s="1" t="s">
        <v>65</v>
      </c>
      <c r="W9" s="1" t="s">
        <v>41</v>
      </c>
      <c r="X9" s="1"/>
      <c r="Y9" s="1" t="s">
        <v>41</v>
      </c>
      <c r="Z9" s="1"/>
      <c r="AA9" s="1" t="s">
        <v>41</v>
      </c>
      <c r="AB9" s="1"/>
      <c r="AC9" s="1" t="s">
        <v>41</v>
      </c>
      <c r="AD9" s="1"/>
      <c r="AE9" s="1"/>
      <c r="AF9" s="1"/>
      <c r="AG9" s="1" t="s">
        <v>41</v>
      </c>
      <c r="AH9" s="1" t="s">
        <v>41</v>
      </c>
      <c r="AI9" s="1" t="s">
        <v>41</v>
      </c>
      <c r="AJ9" s="1" t="s">
        <v>41</v>
      </c>
      <c r="AK9" s="1" t="s">
        <v>38</v>
      </c>
      <c r="AL9" s="1" t="s">
        <v>41</v>
      </c>
      <c r="AM9" s="1" t="s">
        <v>41</v>
      </c>
      <c r="AN9" s="1" t="s">
        <v>41</v>
      </c>
      <c r="AO9" s="1"/>
      <c r="AP9" s="50" t="s">
        <v>44</v>
      </c>
      <c r="AQ9" s="50" t="s">
        <v>72</v>
      </c>
      <c r="AR9" s="1">
        <v>1</v>
      </c>
      <c r="AS9" s="1"/>
      <c r="AT9" s="1">
        <v>1</v>
      </c>
      <c r="AU9" s="1"/>
      <c r="AV9" s="1" t="s">
        <v>58</v>
      </c>
    </row>
    <row r="10" spans="1:48" ht="14.4" x14ac:dyDescent="0.3">
      <c r="A10" s="1">
        <v>19</v>
      </c>
      <c r="B10" s="13">
        <v>44895</v>
      </c>
      <c r="C10" s="7" t="s">
        <v>122</v>
      </c>
      <c r="D10" s="7" t="s">
        <v>122</v>
      </c>
      <c r="E10" s="7" t="s">
        <v>123</v>
      </c>
      <c r="F10" s="7" t="s">
        <v>36</v>
      </c>
      <c r="G10" s="7">
        <v>47</v>
      </c>
      <c r="H10" s="12" t="s">
        <v>124</v>
      </c>
      <c r="I10" s="7" t="s">
        <v>68</v>
      </c>
      <c r="J10" s="7"/>
      <c r="K10" s="1">
        <v>68</v>
      </c>
      <c r="L10" s="1">
        <v>179</v>
      </c>
      <c r="M10" s="7">
        <f t="shared" si="0"/>
        <v>1.79</v>
      </c>
      <c r="N10" s="7">
        <f t="shared" si="1"/>
        <v>21.222808276895229</v>
      </c>
      <c r="O10" s="1" t="s">
        <v>39</v>
      </c>
      <c r="P10" s="1" t="s">
        <v>69</v>
      </c>
      <c r="Q10" s="1" t="s">
        <v>38</v>
      </c>
      <c r="R10" s="1" t="s">
        <v>65</v>
      </c>
      <c r="S10" s="1" t="s">
        <v>38</v>
      </c>
      <c r="T10" s="7" t="s">
        <v>53</v>
      </c>
      <c r="U10" s="7" t="s">
        <v>38</v>
      </c>
      <c r="V10" s="7" t="s">
        <v>51</v>
      </c>
      <c r="W10" s="7" t="s">
        <v>38</v>
      </c>
      <c r="X10" s="7" t="s">
        <v>50</v>
      </c>
      <c r="Y10" s="7" t="s">
        <v>38</v>
      </c>
      <c r="Z10" s="7" t="s">
        <v>52</v>
      </c>
      <c r="AA10" s="7" t="s">
        <v>38</v>
      </c>
      <c r="AB10" s="7" t="s">
        <v>52</v>
      </c>
      <c r="AC10" s="7" t="s">
        <v>41</v>
      </c>
      <c r="AD10" s="7"/>
      <c r="AE10" s="7" t="s">
        <v>41</v>
      </c>
      <c r="AF10" s="7"/>
      <c r="AG10" s="7" t="s">
        <v>41</v>
      </c>
      <c r="AH10" s="7" t="s">
        <v>41</v>
      </c>
      <c r="AI10" s="7" t="s">
        <v>41</v>
      </c>
      <c r="AJ10" s="7" t="s">
        <v>38</v>
      </c>
      <c r="AK10" s="7" t="s">
        <v>38</v>
      </c>
      <c r="AL10" s="1" t="s">
        <v>41</v>
      </c>
      <c r="AM10" s="1" t="s">
        <v>41</v>
      </c>
      <c r="AN10" s="1" t="s">
        <v>41</v>
      </c>
      <c r="AO10" s="1"/>
      <c r="AP10" s="50" t="s">
        <v>125</v>
      </c>
      <c r="AQ10" s="50" t="s">
        <v>72</v>
      </c>
      <c r="AR10" s="1">
        <v>1</v>
      </c>
      <c r="AS10" s="1"/>
      <c r="AT10" s="1">
        <v>1</v>
      </c>
      <c r="AU10" s="1"/>
      <c r="AV10" s="1" t="s">
        <v>58</v>
      </c>
    </row>
    <row r="11" spans="1:48" ht="14.4" x14ac:dyDescent="0.3">
      <c r="A11" s="1">
        <v>21</v>
      </c>
      <c r="B11" s="11">
        <v>44895</v>
      </c>
      <c r="C11" s="7" t="s">
        <v>128</v>
      </c>
      <c r="D11" s="7" t="s">
        <v>128</v>
      </c>
      <c r="E11" s="7" t="s">
        <v>129</v>
      </c>
      <c r="F11" s="7" t="s">
        <v>36</v>
      </c>
      <c r="G11" s="7">
        <v>52</v>
      </c>
      <c r="H11" s="7"/>
      <c r="I11" s="7" t="s">
        <v>37</v>
      </c>
      <c r="J11" s="7" t="s">
        <v>38</v>
      </c>
      <c r="K11" s="7">
        <v>48</v>
      </c>
      <c r="L11" s="7">
        <v>167</v>
      </c>
      <c r="M11" s="7">
        <f t="shared" si="0"/>
        <v>1.67</v>
      </c>
      <c r="N11" s="7">
        <f t="shared" si="1"/>
        <v>17.21108680841909</v>
      </c>
      <c r="O11" s="7" t="s">
        <v>39</v>
      </c>
      <c r="P11" s="7">
        <v>37</v>
      </c>
      <c r="Q11" s="7" t="s">
        <v>38</v>
      </c>
      <c r="R11" s="7" t="s">
        <v>51</v>
      </c>
      <c r="S11" s="7" t="s">
        <v>38</v>
      </c>
      <c r="T11" s="7" t="s">
        <v>51</v>
      </c>
      <c r="U11" s="7" t="s">
        <v>38</v>
      </c>
      <c r="V11" s="7" t="s">
        <v>43</v>
      </c>
      <c r="W11" s="7" t="s">
        <v>38</v>
      </c>
      <c r="X11" s="7" t="s">
        <v>43</v>
      </c>
      <c r="Y11" s="7" t="s">
        <v>41</v>
      </c>
      <c r="Z11" s="7"/>
      <c r="AA11" s="7" t="s">
        <v>41</v>
      </c>
      <c r="AB11" s="7"/>
      <c r="AC11" s="7" t="s">
        <v>41</v>
      </c>
      <c r="AD11" s="7"/>
      <c r="AE11" s="7" t="s">
        <v>41</v>
      </c>
      <c r="AF11" s="7"/>
      <c r="AG11" s="7" t="s">
        <v>41</v>
      </c>
      <c r="AH11" s="7" t="s">
        <v>41</v>
      </c>
      <c r="AI11" s="7" t="s">
        <v>41</v>
      </c>
      <c r="AJ11" s="7" t="s">
        <v>38</v>
      </c>
      <c r="AK11" s="7" t="s">
        <v>38</v>
      </c>
      <c r="AL11" s="1" t="s">
        <v>41</v>
      </c>
      <c r="AM11" s="1" t="s">
        <v>41</v>
      </c>
      <c r="AN11" s="1" t="s">
        <v>41</v>
      </c>
      <c r="AO11" s="1"/>
      <c r="AP11" s="50" t="s">
        <v>79</v>
      </c>
      <c r="AQ11" s="50" t="s">
        <v>72</v>
      </c>
      <c r="AR11" s="1">
        <v>4</v>
      </c>
      <c r="AS11" s="1"/>
      <c r="AT11" s="1">
        <v>2</v>
      </c>
      <c r="AU11" s="1"/>
      <c r="AV11" s="1" t="s">
        <v>46</v>
      </c>
    </row>
    <row r="12" spans="1:48" ht="14.4" x14ac:dyDescent="0.3">
      <c r="A12" s="1">
        <v>22</v>
      </c>
      <c r="B12" s="14">
        <v>44531</v>
      </c>
      <c r="C12" s="7" t="s">
        <v>130</v>
      </c>
      <c r="D12" s="7" t="s">
        <v>130</v>
      </c>
      <c r="E12" s="7" t="s">
        <v>131</v>
      </c>
      <c r="F12" s="7" t="s">
        <v>36</v>
      </c>
      <c r="G12" s="7">
        <v>40</v>
      </c>
      <c r="H12" s="7"/>
      <c r="I12" s="7" t="s">
        <v>68</v>
      </c>
      <c r="J12" s="7"/>
      <c r="K12" s="7">
        <v>62</v>
      </c>
      <c r="L12" s="7">
        <v>192</v>
      </c>
      <c r="M12" s="7">
        <f t="shared" si="0"/>
        <v>1.92</v>
      </c>
      <c r="N12" s="7">
        <f t="shared" si="1"/>
        <v>16.818576388888889</v>
      </c>
      <c r="O12" s="7" t="s">
        <v>39</v>
      </c>
      <c r="P12" s="7" t="s">
        <v>69</v>
      </c>
      <c r="Q12" s="7" t="s">
        <v>38</v>
      </c>
      <c r="R12" s="7" t="s">
        <v>103</v>
      </c>
      <c r="S12" s="7" t="s">
        <v>38</v>
      </c>
      <c r="T12" s="7" t="s">
        <v>65</v>
      </c>
      <c r="U12" s="7" t="s">
        <v>104</v>
      </c>
      <c r="V12" s="7" t="s">
        <v>50</v>
      </c>
      <c r="W12" s="7" t="s">
        <v>38</v>
      </c>
      <c r="X12" s="7" t="s">
        <v>65</v>
      </c>
      <c r="Y12" s="7" t="s">
        <v>38</v>
      </c>
      <c r="Z12" s="7" t="s">
        <v>65</v>
      </c>
      <c r="AA12" s="7" t="s">
        <v>38</v>
      </c>
      <c r="AB12" s="7" t="s">
        <v>132</v>
      </c>
      <c r="AC12" s="7" t="s">
        <v>41</v>
      </c>
      <c r="AD12" s="7"/>
      <c r="AE12" s="7" t="s">
        <v>41</v>
      </c>
      <c r="AF12" s="7"/>
      <c r="AG12" s="7" t="s">
        <v>38</v>
      </c>
      <c r="AH12" s="7" t="s">
        <v>41</v>
      </c>
      <c r="AI12" s="7" t="s">
        <v>41</v>
      </c>
      <c r="AJ12" s="7" t="s">
        <v>38</v>
      </c>
      <c r="AK12" s="7" t="s">
        <v>38</v>
      </c>
      <c r="AL12" s="1" t="s">
        <v>41</v>
      </c>
      <c r="AM12" s="1" t="s">
        <v>41</v>
      </c>
      <c r="AN12" s="1" t="s">
        <v>41</v>
      </c>
      <c r="AO12" s="1"/>
      <c r="AP12" s="50" t="s">
        <v>79</v>
      </c>
      <c r="AQ12" s="50" t="s">
        <v>61</v>
      </c>
      <c r="AR12" s="1">
        <v>1</v>
      </c>
      <c r="AS12" s="1"/>
      <c r="AT12" s="1">
        <v>1</v>
      </c>
      <c r="AU12" s="1"/>
      <c r="AV12" s="1" t="s">
        <v>58</v>
      </c>
    </row>
    <row r="13" spans="1:48" ht="14.4" x14ac:dyDescent="0.3">
      <c r="A13" s="1">
        <v>23</v>
      </c>
      <c r="B13" s="11">
        <v>44574</v>
      </c>
      <c r="C13" s="7" t="s">
        <v>133</v>
      </c>
      <c r="D13" s="7" t="s">
        <v>133</v>
      </c>
      <c r="E13" s="7" t="s">
        <v>134</v>
      </c>
      <c r="F13" s="7" t="s">
        <v>87</v>
      </c>
      <c r="G13" s="7">
        <v>21</v>
      </c>
      <c r="H13" s="12" t="s">
        <v>135</v>
      </c>
      <c r="I13" s="7" t="s">
        <v>68</v>
      </c>
      <c r="J13" s="7"/>
      <c r="K13" s="7">
        <v>53</v>
      </c>
      <c r="L13" s="7">
        <v>166</v>
      </c>
      <c r="M13" s="7">
        <f t="shared" si="0"/>
        <v>1.66</v>
      </c>
      <c r="N13" s="7">
        <f t="shared" si="1"/>
        <v>19.233560749020178</v>
      </c>
      <c r="O13" s="7" t="s">
        <v>39</v>
      </c>
      <c r="P13" s="7">
        <v>35</v>
      </c>
      <c r="Q13" s="7" t="s">
        <v>38</v>
      </c>
      <c r="R13" s="7" t="s">
        <v>50</v>
      </c>
      <c r="S13" s="7" t="s">
        <v>38</v>
      </c>
      <c r="T13" s="7" t="s">
        <v>51</v>
      </c>
      <c r="U13" s="7" t="s">
        <v>38</v>
      </c>
      <c r="V13" s="7" t="s">
        <v>110</v>
      </c>
      <c r="W13" s="7" t="s">
        <v>38</v>
      </c>
      <c r="X13" s="7" t="s">
        <v>51</v>
      </c>
      <c r="Y13" s="7" t="s">
        <v>38</v>
      </c>
      <c r="Z13" s="7" t="s">
        <v>51</v>
      </c>
      <c r="AA13" s="7" t="s">
        <v>38</v>
      </c>
      <c r="AB13" s="7" t="s">
        <v>65</v>
      </c>
      <c r="AC13" s="7" t="s">
        <v>41</v>
      </c>
      <c r="AD13" s="7"/>
      <c r="AE13" s="7" t="s">
        <v>136</v>
      </c>
      <c r="AF13" s="7" t="s">
        <v>52</v>
      </c>
      <c r="AG13" s="7" t="s">
        <v>38</v>
      </c>
      <c r="AH13" s="7" t="s">
        <v>41</v>
      </c>
      <c r="AI13" s="7" t="s">
        <v>41</v>
      </c>
      <c r="AJ13" s="7" t="s">
        <v>41</v>
      </c>
      <c r="AK13" s="7" t="s">
        <v>41</v>
      </c>
      <c r="AL13" s="1" t="s">
        <v>41</v>
      </c>
      <c r="AM13" s="1" t="s">
        <v>41</v>
      </c>
      <c r="AN13" s="1" t="s">
        <v>41</v>
      </c>
      <c r="AO13" s="1"/>
      <c r="AP13" s="50" t="s">
        <v>137</v>
      </c>
      <c r="AQ13" s="50" t="s">
        <v>45</v>
      </c>
      <c r="AR13" s="1">
        <v>2</v>
      </c>
      <c r="AS13" s="1"/>
      <c r="AT13" s="1">
        <v>2</v>
      </c>
      <c r="AU13" s="1"/>
      <c r="AV13" s="1" t="s">
        <v>58</v>
      </c>
    </row>
    <row r="14" spans="1:48" ht="14.4" x14ac:dyDescent="0.3">
      <c r="A14" s="1">
        <v>24</v>
      </c>
      <c r="B14" s="11">
        <v>44878</v>
      </c>
      <c r="C14" s="7" t="s">
        <v>138</v>
      </c>
      <c r="D14" s="7" t="s">
        <v>138</v>
      </c>
      <c r="E14" s="7" t="s">
        <v>139</v>
      </c>
      <c r="F14" s="7" t="s">
        <v>87</v>
      </c>
      <c r="G14" s="7">
        <v>26</v>
      </c>
      <c r="H14" s="7"/>
      <c r="I14" s="7" t="s">
        <v>37</v>
      </c>
      <c r="J14" s="7" t="s">
        <v>41</v>
      </c>
      <c r="K14" s="7">
        <v>42</v>
      </c>
      <c r="L14" s="7">
        <v>169</v>
      </c>
      <c r="M14" s="7">
        <f t="shared" si="0"/>
        <v>1.69</v>
      </c>
      <c r="N14" s="7">
        <f t="shared" si="1"/>
        <v>14.705367459122582</v>
      </c>
      <c r="O14" s="7" t="s">
        <v>39</v>
      </c>
      <c r="P14" s="7">
        <v>37</v>
      </c>
      <c r="Q14" s="7" t="s">
        <v>38</v>
      </c>
      <c r="R14" s="7" t="s">
        <v>50</v>
      </c>
      <c r="S14" s="7" t="s">
        <v>38</v>
      </c>
      <c r="T14" s="7" t="s">
        <v>65</v>
      </c>
      <c r="U14" s="7" t="s">
        <v>38</v>
      </c>
      <c r="V14" s="7" t="s">
        <v>140</v>
      </c>
      <c r="W14" s="7" t="s">
        <v>38</v>
      </c>
      <c r="X14" s="7" t="s">
        <v>50</v>
      </c>
      <c r="Y14" s="7" t="s">
        <v>38</v>
      </c>
      <c r="Z14" s="7" t="s">
        <v>132</v>
      </c>
      <c r="AA14" s="7" t="s">
        <v>38</v>
      </c>
      <c r="AB14" s="7" t="s">
        <v>132</v>
      </c>
      <c r="AC14" s="7" t="s">
        <v>41</v>
      </c>
      <c r="AD14" s="7"/>
      <c r="AE14" s="7" t="s">
        <v>41</v>
      </c>
      <c r="AF14" s="7"/>
      <c r="AG14" s="7" t="s">
        <v>38</v>
      </c>
      <c r="AH14" s="7" t="s">
        <v>41</v>
      </c>
      <c r="AI14" s="7" t="s">
        <v>41</v>
      </c>
      <c r="AJ14" s="7" t="s">
        <v>41</v>
      </c>
      <c r="AK14" s="7" t="s">
        <v>41</v>
      </c>
      <c r="AL14" s="1" t="s">
        <v>41</v>
      </c>
      <c r="AM14" s="1" t="s">
        <v>41</v>
      </c>
      <c r="AN14" s="1" t="s">
        <v>41</v>
      </c>
      <c r="AO14" s="1"/>
      <c r="AP14" s="50" t="s">
        <v>141</v>
      </c>
      <c r="AQ14" s="50" t="s">
        <v>57</v>
      </c>
      <c r="AR14" s="1">
        <v>3</v>
      </c>
      <c r="AS14" s="1"/>
      <c r="AT14" s="1">
        <v>2</v>
      </c>
      <c r="AU14" s="1"/>
      <c r="AV14" s="1" t="s">
        <v>58</v>
      </c>
    </row>
    <row r="15" spans="1:48" ht="14.4" x14ac:dyDescent="0.3">
      <c r="A15" s="1">
        <v>25</v>
      </c>
      <c r="B15" s="14">
        <v>44653</v>
      </c>
      <c r="C15" s="7" t="s">
        <v>142</v>
      </c>
      <c r="D15" s="7" t="s">
        <v>142</v>
      </c>
      <c r="E15" s="7" t="s">
        <v>143</v>
      </c>
      <c r="F15" s="7" t="s">
        <v>36</v>
      </c>
      <c r="G15" s="7"/>
      <c r="H15" s="7"/>
      <c r="I15" s="7" t="s">
        <v>68</v>
      </c>
      <c r="J15" s="7"/>
      <c r="K15" s="7"/>
      <c r="L15" s="7"/>
      <c r="M15" s="7">
        <f t="shared" si="0"/>
        <v>0</v>
      </c>
      <c r="N15" s="7" t="e">
        <f t="shared" si="1"/>
        <v>#DIV/0!</v>
      </c>
      <c r="O15" s="7" t="s">
        <v>39</v>
      </c>
      <c r="P15" s="7">
        <v>37</v>
      </c>
      <c r="Q15" s="7" t="s">
        <v>38</v>
      </c>
      <c r="R15" s="7" t="s">
        <v>50</v>
      </c>
      <c r="S15" s="7" t="s">
        <v>38</v>
      </c>
      <c r="T15" s="7" t="s">
        <v>43</v>
      </c>
      <c r="U15" s="7" t="s">
        <v>38</v>
      </c>
      <c r="V15" s="7" t="s">
        <v>50</v>
      </c>
      <c r="W15" s="7" t="s">
        <v>38</v>
      </c>
      <c r="X15" s="7" t="s">
        <v>51</v>
      </c>
      <c r="Y15" s="7" t="s">
        <v>41</v>
      </c>
      <c r="Z15" s="7"/>
      <c r="AA15" s="7" t="s">
        <v>38</v>
      </c>
      <c r="AB15" s="7" t="s">
        <v>43</v>
      </c>
      <c r="AC15" s="7" t="s">
        <v>41</v>
      </c>
      <c r="AD15" s="7"/>
      <c r="AE15" s="7" t="s">
        <v>41</v>
      </c>
      <c r="AF15" s="7"/>
      <c r="AG15" s="7" t="s">
        <v>38</v>
      </c>
      <c r="AH15" s="7" t="s">
        <v>41</v>
      </c>
      <c r="AI15" s="7" t="s">
        <v>41</v>
      </c>
      <c r="AJ15" s="7" t="s">
        <v>41</v>
      </c>
      <c r="AK15" s="7" t="s">
        <v>41</v>
      </c>
      <c r="AL15" s="7" t="s">
        <v>41</v>
      </c>
      <c r="AM15" s="7" t="s">
        <v>41</v>
      </c>
      <c r="AN15" s="7" t="s">
        <v>41</v>
      </c>
      <c r="AO15" s="7"/>
      <c r="AP15" s="49" t="s">
        <v>144</v>
      </c>
      <c r="AQ15" s="49" t="s">
        <v>72</v>
      </c>
      <c r="AR15" s="7">
        <v>3</v>
      </c>
      <c r="AS15" s="7"/>
      <c r="AT15" s="7">
        <v>2</v>
      </c>
      <c r="AU15" s="7"/>
      <c r="AV15" s="7" t="s">
        <v>58</v>
      </c>
    </row>
    <row r="16" spans="1:48" ht="14.4" x14ac:dyDescent="0.3">
      <c r="A16" s="1">
        <v>26</v>
      </c>
      <c r="B16" s="14">
        <v>44653</v>
      </c>
      <c r="C16" s="7" t="s">
        <v>145</v>
      </c>
      <c r="D16" s="7" t="s">
        <v>145</v>
      </c>
      <c r="E16" s="7" t="s">
        <v>81</v>
      </c>
      <c r="F16" s="7" t="s">
        <v>36</v>
      </c>
      <c r="G16" s="7">
        <v>31</v>
      </c>
      <c r="H16" s="7"/>
      <c r="I16" s="7" t="s">
        <v>68</v>
      </c>
      <c r="J16" s="7"/>
      <c r="K16" s="7">
        <v>59</v>
      </c>
      <c r="L16" s="7">
        <v>187</v>
      </c>
      <c r="M16" s="7">
        <f t="shared" si="0"/>
        <v>1.87</v>
      </c>
      <c r="N16" s="7">
        <f t="shared" si="1"/>
        <v>16.872086705367607</v>
      </c>
      <c r="O16" s="7" t="s">
        <v>39</v>
      </c>
      <c r="P16" s="7">
        <v>37</v>
      </c>
      <c r="Q16" s="7" t="s">
        <v>38</v>
      </c>
      <c r="R16" s="7" t="s">
        <v>146</v>
      </c>
      <c r="S16" s="7"/>
      <c r="T16" s="7" t="s">
        <v>51</v>
      </c>
      <c r="U16" s="7" t="s">
        <v>38</v>
      </c>
      <c r="V16" s="7" t="s">
        <v>65</v>
      </c>
      <c r="W16" s="7" t="s">
        <v>38</v>
      </c>
      <c r="X16" s="7" t="s">
        <v>43</v>
      </c>
      <c r="Y16" s="7" t="s">
        <v>41</v>
      </c>
      <c r="Z16" s="7"/>
      <c r="AA16" s="7" t="s">
        <v>38</v>
      </c>
      <c r="AB16" s="7" t="s">
        <v>114</v>
      </c>
      <c r="AC16" s="7" t="s">
        <v>41</v>
      </c>
      <c r="AD16" s="7"/>
      <c r="AE16" s="7" t="s">
        <v>41</v>
      </c>
      <c r="AF16" s="7"/>
      <c r="AG16" s="7" t="s">
        <v>38</v>
      </c>
      <c r="AH16" s="7" t="s">
        <v>41</v>
      </c>
      <c r="AI16" s="7" t="s">
        <v>41</v>
      </c>
      <c r="AJ16" s="7" t="s">
        <v>41</v>
      </c>
      <c r="AK16" s="14" t="s">
        <v>41</v>
      </c>
      <c r="AL16" s="7" t="s">
        <v>41</v>
      </c>
      <c r="AM16" s="7" t="s">
        <v>41</v>
      </c>
      <c r="AN16" s="7" t="s">
        <v>41</v>
      </c>
      <c r="AO16" s="7"/>
      <c r="AP16" s="49" t="s">
        <v>69</v>
      </c>
      <c r="AQ16" s="49" t="s">
        <v>45</v>
      </c>
      <c r="AR16" s="7">
        <v>2</v>
      </c>
      <c r="AS16" s="7"/>
      <c r="AT16" s="7">
        <v>2</v>
      </c>
      <c r="AU16" s="7"/>
      <c r="AV16" s="7" t="s">
        <v>58</v>
      </c>
    </row>
    <row r="17" spans="1:48" ht="14.4" x14ac:dyDescent="0.3">
      <c r="A17" s="1">
        <v>2</v>
      </c>
      <c r="B17" s="6">
        <v>44516</v>
      </c>
      <c r="C17" s="1" t="s">
        <v>47</v>
      </c>
      <c r="D17" s="1" t="s">
        <v>47</v>
      </c>
      <c r="E17" s="1" t="s">
        <v>48</v>
      </c>
      <c r="F17" s="1" t="s">
        <v>36</v>
      </c>
      <c r="G17" s="1">
        <v>38</v>
      </c>
      <c r="H17" s="1"/>
      <c r="I17" s="1" t="s">
        <v>37</v>
      </c>
      <c r="J17" s="1" t="s">
        <v>41</v>
      </c>
      <c r="K17" s="1">
        <v>58</v>
      </c>
      <c r="L17" s="1">
        <v>168</v>
      </c>
      <c r="M17" s="7">
        <f t="shared" si="0"/>
        <v>1.68</v>
      </c>
      <c r="N17" s="7">
        <f t="shared" si="1"/>
        <v>20.549886621315196</v>
      </c>
      <c r="O17" s="1" t="s">
        <v>49</v>
      </c>
      <c r="P17" s="1">
        <v>36</v>
      </c>
      <c r="Q17" s="1" t="s">
        <v>38</v>
      </c>
      <c r="R17" s="1">
        <v>12</v>
      </c>
      <c r="S17" s="1" t="s">
        <v>38</v>
      </c>
      <c r="T17" s="1" t="s">
        <v>43</v>
      </c>
      <c r="U17" s="1" t="s">
        <v>38</v>
      </c>
      <c r="V17" s="1" t="s">
        <v>50</v>
      </c>
      <c r="W17" s="1" t="s">
        <v>38</v>
      </c>
      <c r="X17" s="1" t="s">
        <v>51</v>
      </c>
      <c r="Y17" s="1" t="s">
        <v>41</v>
      </c>
      <c r="Z17" s="1"/>
      <c r="AA17" s="1" t="s">
        <v>38</v>
      </c>
      <c r="AB17" s="1" t="s">
        <v>52</v>
      </c>
      <c r="AC17" s="1" t="s">
        <v>38</v>
      </c>
      <c r="AD17" s="1" t="s">
        <v>53</v>
      </c>
      <c r="AE17" s="1" t="s">
        <v>54</v>
      </c>
      <c r="AF17" s="1" t="s">
        <v>55</v>
      </c>
      <c r="AG17" s="1" t="s">
        <v>41</v>
      </c>
      <c r="AH17" s="1" t="s">
        <v>41</v>
      </c>
      <c r="AI17" s="1" t="s">
        <v>41</v>
      </c>
      <c r="AJ17" s="1" t="s">
        <v>41</v>
      </c>
      <c r="AK17" s="1" t="s">
        <v>41</v>
      </c>
      <c r="AL17" s="1" t="s">
        <v>41</v>
      </c>
      <c r="AM17" s="1"/>
      <c r="AN17" s="1" t="s">
        <v>41</v>
      </c>
      <c r="AO17" s="1"/>
      <c r="AP17" s="50" t="s">
        <v>56</v>
      </c>
      <c r="AQ17" s="50" t="s">
        <v>57</v>
      </c>
      <c r="AR17" s="1">
        <v>3</v>
      </c>
      <c r="AS17" s="1"/>
      <c r="AT17" s="1">
        <v>2</v>
      </c>
      <c r="AU17" s="1"/>
      <c r="AV17" s="1" t="s">
        <v>58</v>
      </c>
    </row>
    <row r="18" spans="1:48" ht="14.4" x14ac:dyDescent="0.3">
      <c r="A18" s="1">
        <v>3</v>
      </c>
      <c r="B18" s="6">
        <v>44517</v>
      </c>
      <c r="C18" s="1" t="s">
        <v>59</v>
      </c>
      <c r="D18" s="1" t="s">
        <v>59</v>
      </c>
      <c r="E18" s="1" t="s">
        <v>60</v>
      </c>
      <c r="F18" s="1" t="s">
        <v>36</v>
      </c>
      <c r="G18" s="1">
        <v>28</v>
      </c>
      <c r="H18" s="1"/>
      <c r="I18" s="1" t="s">
        <v>37</v>
      </c>
      <c r="J18" s="1" t="s">
        <v>38</v>
      </c>
      <c r="K18" s="1">
        <v>62</v>
      </c>
      <c r="L18" s="1">
        <v>156</v>
      </c>
      <c r="M18" s="7">
        <f t="shared" si="0"/>
        <v>1.56</v>
      </c>
      <c r="N18" s="7">
        <f t="shared" si="1"/>
        <v>25.476660092044707</v>
      </c>
      <c r="O18" s="1" t="s">
        <v>49</v>
      </c>
      <c r="P18" s="1">
        <v>37.6</v>
      </c>
      <c r="Q18" s="1" t="s">
        <v>38</v>
      </c>
      <c r="R18" s="1" t="s">
        <v>43</v>
      </c>
      <c r="S18" s="1" t="s">
        <v>38</v>
      </c>
      <c r="T18" s="1" t="s">
        <v>51</v>
      </c>
      <c r="U18" s="1" t="s">
        <v>38</v>
      </c>
      <c r="V18" s="1" t="s">
        <v>43</v>
      </c>
      <c r="W18" s="1" t="s">
        <v>38</v>
      </c>
      <c r="X18" s="1" t="s">
        <v>43</v>
      </c>
      <c r="Y18" s="1" t="s">
        <v>41</v>
      </c>
      <c r="Z18" s="1"/>
      <c r="AA18" s="1" t="s">
        <v>41</v>
      </c>
      <c r="AB18" s="1"/>
      <c r="AC18" s="1" t="s">
        <v>41</v>
      </c>
      <c r="AD18" s="7"/>
      <c r="AE18" s="7" t="s">
        <v>41</v>
      </c>
      <c r="AF18" s="7"/>
      <c r="AG18" s="7" t="s">
        <v>38</v>
      </c>
      <c r="AH18" s="7" t="s">
        <v>41</v>
      </c>
      <c r="AI18" s="7" t="s">
        <v>41</v>
      </c>
      <c r="AJ18" s="7" t="s">
        <v>41</v>
      </c>
      <c r="AK18" s="7" t="s">
        <v>41</v>
      </c>
      <c r="AL18" s="7" t="s">
        <v>41</v>
      </c>
      <c r="AM18" s="1"/>
      <c r="AN18" s="1" t="s">
        <v>41</v>
      </c>
      <c r="AO18" s="1"/>
      <c r="AP18" s="50" t="s">
        <v>56</v>
      </c>
      <c r="AQ18" s="50" t="s">
        <v>61</v>
      </c>
      <c r="AR18" s="1">
        <v>3</v>
      </c>
      <c r="AS18" s="1"/>
      <c r="AT18" s="1">
        <v>2</v>
      </c>
      <c r="AU18" s="1"/>
      <c r="AV18" s="1" t="s">
        <v>58</v>
      </c>
    </row>
    <row r="19" spans="1:48" ht="15.75" customHeight="1" x14ac:dyDescent="0.3">
      <c r="A19" s="1">
        <v>4</v>
      </c>
      <c r="B19" s="6">
        <v>44518</v>
      </c>
      <c r="C19" s="1" t="s">
        <v>62</v>
      </c>
      <c r="D19" s="1" t="s">
        <v>62</v>
      </c>
      <c r="E19" s="1" t="s">
        <v>63</v>
      </c>
      <c r="F19" s="1" t="s">
        <v>36</v>
      </c>
      <c r="G19" s="1">
        <v>37</v>
      </c>
      <c r="H19" s="1">
        <v>759800432</v>
      </c>
      <c r="I19" s="1" t="s">
        <v>37</v>
      </c>
      <c r="J19" s="1" t="s">
        <v>38</v>
      </c>
      <c r="K19" s="1">
        <v>60</v>
      </c>
      <c r="L19" s="1">
        <v>167</v>
      </c>
      <c r="M19" s="7">
        <f t="shared" si="0"/>
        <v>1.67</v>
      </c>
      <c r="N19" s="7">
        <f t="shared" si="1"/>
        <v>21.513858510523864</v>
      </c>
      <c r="O19" s="1" t="s">
        <v>49</v>
      </c>
      <c r="P19" s="1">
        <v>37.9</v>
      </c>
      <c r="Q19" s="1" t="s">
        <v>38</v>
      </c>
      <c r="R19" s="1" t="s">
        <v>64</v>
      </c>
      <c r="S19" s="1" t="s">
        <v>38</v>
      </c>
      <c r="T19" s="1" t="s">
        <v>43</v>
      </c>
      <c r="U19" s="1" t="s">
        <v>38</v>
      </c>
      <c r="V19" s="1" t="s">
        <v>65</v>
      </c>
      <c r="W19" s="1" t="s">
        <v>38</v>
      </c>
      <c r="X19" s="1" t="s">
        <v>50</v>
      </c>
      <c r="Y19" s="1" t="s">
        <v>38</v>
      </c>
      <c r="Z19" s="1" t="s">
        <v>65</v>
      </c>
      <c r="AA19" s="1" t="s">
        <v>38</v>
      </c>
      <c r="AB19" s="1" t="s">
        <v>65</v>
      </c>
      <c r="AC19" s="1" t="s">
        <v>41</v>
      </c>
      <c r="AD19" s="7"/>
      <c r="AE19" s="7" t="s">
        <v>41</v>
      </c>
      <c r="AF19" s="7"/>
      <c r="AG19" s="7" t="s">
        <v>41</v>
      </c>
      <c r="AH19" s="7" t="s">
        <v>41</v>
      </c>
      <c r="AI19" s="7" t="s">
        <v>41</v>
      </c>
      <c r="AJ19" s="7" t="s">
        <v>38</v>
      </c>
      <c r="AK19" s="7" t="s">
        <v>38</v>
      </c>
      <c r="AL19" s="7" t="s">
        <v>38</v>
      </c>
      <c r="AM19" s="8">
        <v>44317</v>
      </c>
      <c r="AN19" s="8" t="s">
        <v>41</v>
      </c>
      <c r="AO19" s="8"/>
      <c r="AP19" s="49" t="s">
        <v>56</v>
      </c>
      <c r="AQ19" s="49" t="s">
        <v>57</v>
      </c>
      <c r="AR19" s="7">
        <v>2</v>
      </c>
      <c r="AS19" s="7"/>
      <c r="AT19" s="7">
        <v>1</v>
      </c>
      <c r="AU19" s="7"/>
      <c r="AV19" s="7" t="s">
        <v>58</v>
      </c>
    </row>
    <row r="20" spans="1:48" ht="15.75" customHeight="1" x14ac:dyDescent="0.3">
      <c r="A20" s="1">
        <v>14</v>
      </c>
      <c r="B20" s="15">
        <v>44516</v>
      </c>
      <c r="C20" s="1" t="s">
        <v>101</v>
      </c>
      <c r="D20" s="1" t="s">
        <v>101</v>
      </c>
      <c r="E20" s="1" t="s">
        <v>102</v>
      </c>
      <c r="F20" s="1" t="s">
        <v>36</v>
      </c>
      <c r="G20" s="1">
        <v>23</v>
      </c>
      <c r="H20" s="1"/>
      <c r="I20" s="1" t="s">
        <v>68</v>
      </c>
      <c r="J20" s="1"/>
      <c r="K20" s="1">
        <v>58</v>
      </c>
      <c r="L20" s="1" t="s">
        <v>69</v>
      </c>
      <c r="M20" s="7" t="e">
        <f t="shared" si="0"/>
        <v>#VALUE!</v>
      </c>
      <c r="N20" s="7" t="e">
        <f t="shared" si="1"/>
        <v>#VALUE!</v>
      </c>
      <c r="O20" s="1"/>
      <c r="P20" s="1" t="s">
        <v>69</v>
      </c>
      <c r="Q20" s="1" t="s">
        <v>38</v>
      </c>
      <c r="R20" s="1" t="s">
        <v>103</v>
      </c>
      <c r="S20" s="1" t="s">
        <v>104</v>
      </c>
      <c r="T20" s="1" t="s">
        <v>43</v>
      </c>
      <c r="U20" s="1" t="s">
        <v>38</v>
      </c>
      <c r="V20" s="1" t="s">
        <v>50</v>
      </c>
      <c r="W20" s="1" t="s">
        <v>38</v>
      </c>
      <c r="X20" s="1" t="s">
        <v>65</v>
      </c>
      <c r="Y20" s="1" t="s">
        <v>41</v>
      </c>
      <c r="Z20" s="1"/>
      <c r="AA20" s="1" t="s">
        <v>41</v>
      </c>
      <c r="AB20" s="1"/>
      <c r="AC20" s="1" t="s">
        <v>41</v>
      </c>
      <c r="AD20" s="1"/>
      <c r="AE20" s="1" t="s">
        <v>41</v>
      </c>
      <c r="AF20" s="1"/>
      <c r="AG20" s="1" t="s">
        <v>38</v>
      </c>
      <c r="AH20" s="1" t="s">
        <v>41</v>
      </c>
      <c r="AI20" s="1" t="s">
        <v>41</v>
      </c>
      <c r="AJ20" s="1" t="s">
        <v>41</v>
      </c>
      <c r="AK20" s="1" t="s">
        <v>41</v>
      </c>
      <c r="AL20" s="1" t="s">
        <v>41</v>
      </c>
      <c r="AM20" s="1" t="s">
        <v>41</v>
      </c>
      <c r="AN20" s="1" t="s">
        <v>41</v>
      </c>
      <c r="AO20" s="1"/>
      <c r="AP20" s="50" t="s">
        <v>105</v>
      </c>
      <c r="AQ20" s="50" t="s">
        <v>72</v>
      </c>
      <c r="AR20" s="1">
        <v>1</v>
      </c>
      <c r="AS20" s="1"/>
      <c r="AT20" s="1">
        <v>1</v>
      </c>
      <c r="AU20" s="1"/>
      <c r="AV20" s="1" t="s">
        <v>106</v>
      </c>
    </row>
    <row r="21" spans="1:48" ht="15.75" customHeight="1" x14ac:dyDescent="0.3">
      <c r="A21" s="1">
        <v>15</v>
      </c>
      <c r="B21" s="16">
        <v>44643</v>
      </c>
      <c r="C21" s="1" t="s">
        <v>107</v>
      </c>
      <c r="D21" s="1" t="s">
        <v>107</v>
      </c>
      <c r="E21" s="1" t="s">
        <v>108</v>
      </c>
      <c r="F21" s="1" t="s">
        <v>36</v>
      </c>
      <c r="G21" s="1">
        <v>39</v>
      </c>
      <c r="H21" s="17" t="s">
        <v>109</v>
      </c>
      <c r="I21" s="1" t="s">
        <v>68</v>
      </c>
      <c r="J21" s="1"/>
      <c r="K21" s="1">
        <v>53</v>
      </c>
      <c r="L21" s="1" t="s">
        <v>69</v>
      </c>
      <c r="M21" s="7" t="e">
        <f t="shared" si="0"/>
        <v>#VALUE!</v>
      </c>
      <c r="N21" s="7" t="e">
        <f t="shared" si="1"/>
        <v>#VALUE!</v>
      </c>
      <c r="O21" s="1" t="s">
        <v>39</v>
      </c>
      <c r="P21" s="1">
        <v>37.799999999999997</v>
      </c>
      <c r="Q21" s="1" t="s">
        <v>38</v>
      </c>
      <c r="R21" s="1" t="s">
        <v>65</v>
      </c>
      <c r="S21" s="1" t="s">
        <v>38</v>
      </c>
      <c r="T21" s="1" t="s">
        <v>51</v>
      </c>
      <c r="U21" s="1" t="s">
        <v>38</v>
      </c>
      <c r="V21" s="1" t="s">
        <v>43</v>
      </c>
      <c r="W21" s="1" t="s">
        <v>38</v>
      </c>
      <c r="X21" s="1" t="s">
        <v>43</v>
      </c>
      <c r="Y21" s="1" t="s">
        <v>41</v>
      </c>
      <c r="Z21" s="1"/>
      <c r="AA21" s="1" t="s">
        <v>38</v>
      </c>
      <c r="AB21" s="1" t="s">
        <v>110</v>
      </c>
      <c r="AC21" s="1"/>
      <c r="AD21" s="1"/>
      <c r="AE21" s="1" t="s">
        <v>41</v>
      </c>
      <c r="AF21" s="1"/>
      <c r="AG21" s="1" t="s">
        <v>41</v>
      </c>
      <c r="AH21" s="1" t="s">
        <v>41</v>
      </c>
      <c r="AI21" s="1" t="s">
        <v>41</v>
      </c>
      <c r="AJ21" s="1" t="s">
        <v>41</v>
      </c>
      <c r="AK21" s="1" t="s">
        <v>38</v>
      </c>
      <c r="AL21" s="1" t="s">
        <v>38</v>
      </c>
      <c r="AM21" s="1">
        <v>2017</v>
      </c>
      <c r="AN21" s="1" t="s">
        <v>38</v>
      </c>
      <c r="AO21" s="1"/>
      <c r="AP21" s="50" t="s">
        <v>69</v>
      </c>
      <c r="AQ21" s="50" t="s">
        <v>61</v>
      </c>
      <c r="AR21" s="1">
        <v>2</v>
      </c>
      <c r="AS21" s="1"/>
      <c r="AT21" s="1">
        <v>6</v>
      </c>
      <c r="AU21" s="1"/>
      <c r="AV21" s="1" t="s">
        <v>106</v>
      </c>
    </row>
    <row r="22" spans="1:48" ht="15.75" customHeight="1" x14ac:dyDescent="0.3">
      <c r="A22" s="1">
        <v>16</v>
      </c>
      <c r="B22" s="18">
        <v>44565</v>
      </c>
      <c r="C22" s="1" t="s">
        <v>111</v>
      </c>
      <c r="D22" s="1" t="s">
        <v>111</v>
      </c>
      <c r="E22" s="1" t="s">
        <v>112</v>
      </c>
      <c r="F22" s="1" t="s">
        <v>36</v>
      </c>
      <c r="G22" s="1">
        <v>18</v>
      </c>
      <c r="H22" s="17" t="s">
        <v>113</v>
      </c>
      <c r="I22" s="1" t="s">
        <v>68</v>
      </c>
      <c r="J22" s="1"/>
      <c r="K22" s="1">
        <v>55</v>
      </c>
      <c r="L22" s="1">
        <v>173</v>
      </c>
      <c r="M22" s="7">
        <f t="shared" si="0"/>
        <v>1.73</v>
      </c>
      <c r="N22" s="7">
        <f t="shared" si="1"/>
        <v>18.376825152861773</v>
      </c>
      <c r="O22" s="1" t="s">
        <v>39</v>
      </c>
      <c r="P22" s="1">
        <v>36</v>
      </c>
      <c r="Q22" s="1" t="s">
        <v>38</v>
      </c>
      <c r="R22" s="1" t="s">
        <v>114</v>
      </c>
      <c r="S22" s="1" t="s">
        <v>38</v>
      </c>
      <c r="T22" s="1" t="s">
        <v>51</v>
      </c>
      <c r="U22" s="1" t="s">
        <v>38</v>
      </c>
      <c r="V22" s="1" t="s">
        <v>43</v>
      </c>
      <c r="W22" s="1" t="s">
        <v>38</v>
      </c>
      <c r="X22" s="1" t="s">
        <v>114</v>
      </c>
      <c r="Y22" s="1" t="s">
        <v>41</v>
      </c>
      <c r="Z22" s="1"/>
      <c r="AA22" s="1" t="s">
        <v>38</v>
      </c>
      <c r="AB22" s="1" t="s">
        <v>51</v>
      </c>
      <c r="AC22" s="1" t="s">
        <v>38</v>
      </c>
      <c r="AD22" s="1" t="s">
        <v>53</v>
      </c>
      <c r="AE22" s="1" t="s">
        <v>41</v>
      </c>
      <c r="AF22" s="1"/>
      <c r="AG22" s="1" t="s">
        <v>38</v>
      </c>
      <c r="AH22" s="1" t="s">
        <v>41</v>
      </c>
      <c r="AI22" s="1" t="s">
        <v>41</v>
      </c>
      <c r="AJ22" s="1" t="s">
        <v>41</v>
      </c>
      <c r="AK22" s="1" t="s">
        <v>41</v>
      </c>
      <c r="AL22" s="1" t="s">
        <v>41</v>
      </c>
      <c r="AM22" s="1" t="s">
        <v>41</v>
      </c>
      <c r="AN22" s="1" t="s">
        <v>41</v>
      </c>
      <c r="AO22" s="1"/>
      <c r="AP22" s="50" t="s">
        <v>115</v>
      </c>
      <c r="AQ22" s="50" t="s">
        <v>72</v>
      </c>
      <c r="AR22" s="1">
        <v>3</v>
      </c>
      <c r="AS22" s="1"/>
      <c r="AT22" s="1">
        <v>3</v>
      </c>
      <c r="AU22" s="1"/>
      <c r="AV22" s="1" t="s">
        <v>58</v>
      </c>
    </row>
    <row r="23" spans="1:48" ht="15.75" customHeight="1" x14ac:dyDescent="0.3">
      <c r="A23" s="1">
        <v>17</v>
      </c>
      <c r="B23" s="19">
        <v>44585</v>
      </c>
      <c r="C23" s="1" t="s">
        <v>116</v>
      </c>
      <c r="D23" s="1" t="s">
        <v>116</v>
      </c>
      <c r="E23" s="1" t="s">
        <v>117</v>
      </c>
      <c r="F23" s="1" t="s">
        <v>36</v>
      </c>
      <c r="G23" s="1">
        <v>28</v>
      </c>
      <c r="H23" s="1"/>
      <c r="I23" s="1" t="s">
        <v>68</v>
      </c>
      <c r="J23" s="1"/>
      <c r="K23" s="1">
        <v>46</v>
      </c>
      <c r="L23" s="1">
        <v>149</v>
      </c>
      <c r="M23" s="7">
        <f t="shared" si="0"/>
        <v>1.49</v>
      </c>
      <c r="N23" s="7">
        <f t="shared" si="1"/>
        <v>20.719787396964101</v>
      </c>
      <c r="O23" s="1" t="s">
        <v>39</v>
      </c>
      <c r="P23" s="1">
        <v>36</v>
      </c>
      <c r="Q23" s="1" t="s">
        <v>38</v>
      </c>
      <c r="R23" s="1" t="s">
        <v>50</v>
      </c>
      <c r="S23" s="1" t="s">
        <v>38</v>
      </c>
      <c r="T23" s="1" t="s">
        <v>51</v>
      </c>
      <c r="U23" s="1" t="s">
        <v>38</v>
      </c>
      <c r="V23" s="1" t="s">
        <v>65</v>
      </c>
      <c r="W23" s="1" t="s">
        <v>38</v>
      </c>
      <c r="X23" s="1" t="s">
        <v>51</v>
      </c>
      <c r="Y23" s="1" t="s">
        <v>41</v>
      </c>
      <c r="Z23" s="1"/>
      <c r="AA23" s="1" t="s">
        <v>38</v>
      </c>
      <c r="AB23" s="1" t="s">
        <v>50</v>
      </c>
      <c r="AC23" s="1" t="s">
        <v>41</v>
      </c>
      <c r="AD23" s="1"/>
      <c r="AE23" s="1" t="s">
        <v>41</v>
      </c>
      <c r="AF23" s="1"/>
      <c r="AG23" s="1" t="s">
        <v>38</v>
      </c>
      <c r="AH23" s="1" t="s">
        <v>41</v>
      </c>
      <c r="AI23" s="1" t="s">
        <v>41</v>
      </c>
      <c r="AJ23" s="1" t="s">
        <v>38</v>
      </c>
      <c r="AK23" s="1" t="s">
        <v>38</v>
      </c>
      <c r="AL23" s="1" t="s">
        <v>41</v>
      </c>
      <c r="AM23" s="1" t="s">
        <v>41</v>
      </c>
      <c r="AN23" s="1" t="s">
        <v>41</v>
      </c>
      <c r="AO23" s="1"/>
      <c r="AP23" s="50" t="s">
        <v>118</v>
      </c>
      <c r="AQ23" s="50" t="s">
        <v>57</v>
      </c>
      <c r="AR23" s="1">
        <v>3</v>
      </c>
      <c r="AS23" s="1"/>
      <c r="AT23" s="1">
        <v>1</v>
      </c>
      <c r="AU23" s="1"/>
      <c r="AV23" s="1" t="s">
        <v>58</v>
      </c>
    </row>
    <row r="24" spans="1:48" ht="15.75" customHeight="1" x14ac:dyDescent="0.3">
      <c r="A24" s="1">
        <v>18</v>
      </c>
      <c r="B24" s="18">
        <v>44845</v>
      </c>
      <c r="C24" s="1" t="s">
        <v>119</v>
      </c>
      <c r="D24" s="1" t="s">
        <v>119</v>
      </c>
      <c r="E24" s="1" t="s">
        <v>120</v>
      </c>
      <c r="F24" s="1" t="s">
        <v>36</v>
      </c>
      <c r="G24" s="1">
        <v>35</v>
      </c>
      <c r="H24" s="1"/>
      <c r="I24" s="1" t="s">
        <v>37</v>
      </c>
      <c r="J24" s="1" t="s">
        <v>38</v>
      </c>
      <c r="K24" s="1">
        <v>66</v>
      </c>
      <c r="L24" s="1" t="s">
        <v>69</v>
      </c>
      <c r="M24" s="7" t="e">
        <f t="shared" si="0"/>
        <v>#VALUE!</v>
      </c>
      <c r="N24" s="7" t="e">
        <f t="shared" si="1"/>
        <v>#VALUE!</v>
      </c>
      <c r="O24" s="1" t="s">
        <v>39</v>
      </c>
      <c r="P24" s="1">
        <v>34.6</v>
      </c>
      <c r="Q24" s="1" t="s">
        <v>38</v>
      </c>
      <c r="R24" s="1" t="s">
        <v>43</v>
      </c>
      <c r="S24" s="1" t="s">
        <v>38</v>
      </c>
      <c r="T24" s="1" t="s">
        <v>51</v>
      </c>
      <c r="U24" s="1" t="s">
        <v>38</v>
      </c>
      <c r="V24" s="1" t="s">
        <v>43</v>
      </c>
      <c r="W24" s="1" t="s">
        <v>38</v>
      </c>
      <c r="X24" s="1" t="s">
        <v>51</v>
      </c>
      <c r="Y24" s="1" t="s">
        <v>41</v>
      </c>
      <c r="Z24" s="1"/>
      <c r="AA24" s="1" t="s">
        <v>38</v>
      </c>
      <c r="AB24" s="1" t="s">
        <v>51</v>
      </c>
      <c r="AC24" s="1" t="s">
        <v>41</v>
      </c>
      <c r="AD24" s="1"/>
      <c r="AE24" s="1" t="s">
        <v>41</v>
      </c>
      <c r="AF24" s="1"/>
      <c r="AG24" s="1" t="s">
        <v>41</v>
      </c>
      <c r="AH24" s="1" t="s">
        <v>41</v>
      </c>
      <c r="AI24" s="1" t="s">
        <v>41</v>
      </c>
      <c r="AJ24" s="1" t="s">
        <v>41</v>
      </c>
      <c r="AK24" s="1" t="s">
        <v>38</v>
      </c>
      <c r="AL24" s="1" t="s">
        <v>41</v>
      </c>
      <c r="AM24" s="1" t="s">
        <v>41</v>
      </c>
      <c r="AN24" s="1" t="s">
        <v>41</v>
      </c>
      <c r="AO24" s="1"/>
      <c r="AP24" s="50" t="s">
        <v>121</v>
      </c>
      <c r="AQ24" s="50" t="s">
        <v>99</v>
      </c>
      <c r="AR24" s="1">
        <v>1</v>
      </c>
      <c r="AS24" s="1"/>
      <c r="AT24" s="1">
        <v>2</v>
      </c>
      <c r="AU24" s="1"/>
      <c r="AV24" s="1" t="s">
        <v>58</v>
      </c>
    </row>
    <row r="25" spans="1:48" ht="15.75" customHeight="1" x14ac:dyDescent="0.3">
      <c r="A25" s="1">
        <v>20</v>
      </c>
      <c r="B25" s="7"/>
      <c r="C25" s="20" t="s">
        <v>126</v>
      </c>
      <c r="D25" s="20" t="s">
        <v>126</v>
      </c>
      <c r="E25" s="20" t="s">
        <v>127</v>
      </c>
      <c r="F25" s="20"/>
      <c r="G25" s="20"/>
      <c r="H25" s="20"/>
      <c r="I25" s="20"/>
      <c r="J25" s="20"/>
      <c r="K25" s="20"/>
      <c r="L25" s="20"/>
      <c r="M25" s="7">
        <f t="shared" si="0"/>
        <v>0</v>
      </c>
      <c r="N25" s="7" t="e">
        <f t="shared" si="1"/>
        <v>#DIV/0!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51"/>
      <c r="AQ25" s="51"/>
      <c r="AR25" s="20"/>
      <c r="AS25" s="20"/>
      <c r="AT25" s="20"/>
      <c r="AU25" s="20"/>
      <c r="AV25" s="20"/>
    </row>
    <row r="26" spans="1:48" ht="15.75" customHeight="1" x14ac:dyDescent="0.3">
      <c r="A26" s="1">
        <v>27</v>
      </c>
      <c r="B26" s="18">
        <v>44889</v>
      </c>
      <c r="C26" s="1" t="s">
        <v>147</v>
      </c>
      <c r="D26" s="1" t="s">
        <v>147</v>
      </c>
      <c r="E26" s="1" t="s">
        <v>148</v>
      </c>
      <c r="F26" s="1" t="s">
        <v>87</v>
      </c>
      <c r="G26" s="1">
        <v>22</v>
      </c>
      <c r="H26" s="17" t="s">
        <v>149</v>
      </c>
      <c r="I26" s="1" t="s">
        <v>68</v>
      </c>
      <c r="J26" s="1"/>
      <c r="K26" s="1">
        <v>59</v>
      </c>
      <c r="L26" s="1">
        <v>152</v>
      </c>
      <c r="M26" s="7">
        <f t="shared" si="0"/>
        <v>1.52</v>
      </c>
      <c r="N26" s="7">
        <f t="shared" si="1"/>
        <v>25.536703601108034</v>
      </c>
      <c r="O26" s="1" t="s">
        <v>39</v>
      </c>
      <c r="P26" s="1">
        <v>36</v>
      </c>
      <c r="Q26" s="1" t="s">
        <v>38</v>
      </c>
      <c r="R26" s="1" t="s">
        <v>150</v>
      </c>
      <c r="S26" s="1" t="s">
        <v>41</v>
      </c>
      <c r="T26" s="7"/>
      <c r="U26" s="7" t="s">
        <v>41</v>
      </c>
      <c r="V26" s="7"/>
      <c r="W26" s="7" t="s">
        <v>41</v>
      </c>
      <c r="X26" s="7"/>
      <c r="Y26" s="7" t="s">
        <v>41</v>
      </c>
      <c r="Z26" s="7"/>
      <c r="AA26" s="7" t="s">
        <v>38</v>
      </c>
      <c r="AB26" s="7" t="s">
        <v>53</v>
      </c>
      <c r="AC26" s="7" t="s">
        <v>41</v>
      </c>
      <c r="AD26" s="7"/>
      <c r="AE26" s="7" t="s">
        <v>41</v>
      </c>
      <c r="AF26" s="7"/>
      <c r="AG26" s="7" t="s">
        <v>41</v>
      </c>
      <c r="AH26" s="7" t="s">
        <v>41</v>
      </c>
      <c r="AI26" s="7" t="s">
        <v>41</v>
      </c>
      <c r="AJ26" s="7" t="s">
        <v>41</v>
      </c>
      <c r="AK26" s="7" t="s">
        <v>41</v>
      </c>
      <c r="AL26" s="1" t="s">
        <v>41</v>
      </c>
      <c r="AM26" s="1" t="s">
        <v>41</v>
      </c>
      <c r="AN26" s="1" t="s">
        <v>41</v>
      </c>
      <c r="AO26" s="1"/>
      <c r="AP26" s="50" t="s">
        <v>115</v>
      </c>
      <c r="AQ26" s="50" t="s">
        <v>61</v>
      </c>
      <c r="AR26" s="1">
        <v>3</v>
      </c>
      <c r="AS26" s="1"/>
      <c r="AT26" s="1">
        <v>4</v>
      </c>
      <c r="AU26" s="1"/>
      <c r="AV26" s="1" t="s">
        <v>46</v>
      </c>
    </row>
    <row r="27" spans="1:48" ht="15.75" customHeight="1" x14ac:dyDescent="0.3">
      <c r="A27" s="1">
        <v>28</v>
      </c>
      <c r="B27" s="19">
        <v>44705</v>
      </c>
      <c r="C27" s="1" t="s">
        <v>151</v>
      </c>
      <c r="D27" s="1" t="s">
        <v>151</v>
      </c>
      <c r="E27" s="1" t="s">
        <v>152</v>
      </c>
      <c r="F27" s="1" t="s">
        <v>87</v>
      </c>
      <c r="G27" s="1">
        <v>24</v>
      </c>
      <c r="H27" s="17" t="s">
        <v>153</v>
      </c>
      <c r="I27" s="1" t="s">
        <v>37</v>
      </c>
      <c r="J27" s="1" t="s">
        <v>41</v>
      </c>
      <c r="K27" s="1">
        <v>54</v>
      </c>
      <c r="L27" s="1">
        <v>163</v>
      </c>
      <c r="M27" s="7">
        <f t="shared" si="0"/>
        <v>1.63</v>
      </c>
      <c r="N27" s="7">
        <f t="shared" si="1"/>
        <v>20.324438255109339</v>
      </c>
      <c r="O27" s="1" t="s">
        <v>39</v>
      </c>
      <c r="P27" s="1">
        <v>36</v>
      </c>
      <c r="Q27" s="1" t="s">
        <v>38</v>
      </c>
      <c r="R27" s="1" t="s">
        <v>51</v>
      </c>
      <c r="S27" s="1">
        <v>1</v>
      </c>
      <c r="T27" s="1" t="s">
        <v>51</v>
      </c>
      <c r="U27" s="1">
        <v>1</v>
      </c>
      <c r="V27" s="1" t="s">
        <v>43</v>
      </c>
      <c r="W27" s="1">
        <v>1</v>
      </c>
      <c r="X27" s="1" t="s">
        <v>51</v>
      </c>
      <c r="Y27" s="1">
        <v>2</v>
      </c>
      <c r="Z27" s="1"/>
      <c r="AA27" s="1" t="s">
        <v>38</v>
      </c>
      <c r="AB27" s="1" t="s">
        <v>51</v>
      </c>
      <c r="AC27" s="1" t="s">
        <v>41</v>
      </c>
      <c r="AD27" s="1"/>
      <c r="AE27" s="1" t="s">
        <v>41</v>
      </c>
      <c r="AF27" s="1"/>
      <c r="AG27" s="1" t="s">
        <v>41</v>
      </c>
      <c r="AH27" s="1" t="s">
        <v>41</v>
      </c>
      <c r="AI27" s="1" t="s">
        <v>41</v>
      </c>
      <c r="AJ27" s="1" t="s">
        <v>41</v>
      </c>
      <c r="AK27" s="1" t="s">
        <v>41</v>
      </c>
      <c r="AL27" s="1" t="s">
        <v>41</v>
      </c>
      <c r="AM27" s="1" t="s">
        <v>41</v>
      </c>
      <c r="AN27" s="1" t="s">
        <v>41</v>
      </c>
      <c r="AO27" s="1"/>
      <c r="AP27" s="50" t="s">
        <v>69</v>
      </c>
      <c r="AQ27" s="50"/>
      <c r="AR27" s="1">
        <v>1</v>
      </c>
      <c r="AS27" s="1"/>
      <c r="AT27" s="1">
        <v>2</v>
      </c>
      <c r="AU27" s="1"/>
      <c r="AV27" s="1" t="s">
        <v>58</v>
      </c>
    </row>
    <row r="28" spans="1:48" ht="15.75" customHeight="1" x14ac:dyDescent="0.3">
      <c r="A28" s="1">
        <v>29</v>
      </c>
      <c r="B28" s="19">
        <v>44699</v>
      </c>
      <c r="C28" s="1" t="s">
        <v>154</v>
      </c>
      <c r="D28" s="1" t="s">
        <v>154</v>
      </c>
      <c r="E28" s="1" t="s">
        <v>91</v>
      </c>
      <c r="F28" s="1" t="s">
        <v>36</v>
      </c>
      <c r="G28" s="1">
        <v>30</v>
      </c>
      <c r="H28" s="17" t="s">
        <v>155</v>
      </c>
      <c r="I28" s="1" t="s">
        <v>37</v>
      </c>
      <c r="J28" s="1" t="s">
        <v>41</v>
      </c>
      <c r="K28" s="1">
        <v>50</v>
      </c>
      <c r="L28" s="1">
        <v>166</v>
      </c>
      <c r="M28" s="7">
        <f t="shared" si="0"/>
        <v>1.66</v>
      </c>
      <c r="N28" s="7">
        <f t="shared" si="1"/>
        <v>18.144868631151112</v>
      </c>
      <c r="O28" s="1" t="s">
        <v>39</v>
      </c>
      <c r="P28" s="1">
        <v>36</v>
      </c>
      <c r="Q28" s="1" t="s">
        <v>38</v>
      </c>
      <c r="R28" s="1" t="s">
        <v>156</v>
      </c>
      <c r="S28" s="1" t="s">
        <v>38</v>
      </c>
      <c r="T28" s="1" t="s">
        <v>156</v>
      </c>
      <c r="U28" s="1" t="s">
        <v>38</v>
      </c>
      <c r="V28" s="1" t="s">
        <v>157</v>
      </c>
      <c r="W28" s="1" t="s">
        <v>38</v>
      </c>
      <c r="X28" s="1" t="s">
        <v>156</v>
      </c>
      <c r="Y28" s="1" t="s">
        <v>41</v>
      </c>
      <c r="Z28" s="1"/>
      <c r="AA28" s="1" t="s">
        <v>41</v>
      </c>
      <c r="AB28" s="1"/>
      <c r="AC28" s="1" t="s">
        <v>38</v>
      </c>
      <c r="AD28" s="1" t="s">
        <v>53</v>
      </c>
      <c r="AE28" s="1" t="s">
        <v>41</v>
      </c>
      <c r="AF28" s="1"/>
      <c r="AG28" s="1" t="s">
        <v>41</v>
      </c>
      <c r="AH28" s="1" t="s">
        <v>41</v>
      </c>
      <c r="AI28" s="1" t="s">
        <v>41</v>
      </c>
      <c r="AJ28" s="1" t="s">
        <v>41</v>
      </c>
      <c r="AK28" s="1" t="s">
        <v>41</v>
      </c>
      <c r="AL28" s="1" t="s">
        <v>41</v>
      </c>
      <c r="AM28" s="1" t="s">
        <v>41</v>
      </c>
      <c r="AN28" s="1" t="s">
        <v>41</v>
      </c>
      <c r="AO28" s="1"/>
      <c r="AP28" s="50" t="s">
        <v>158</v>
      </c>
      <c r="AQ28" s="50" t="s">
        <v>57</v>
      </c>
      <c r="AR28" s="1">
        <v>3</v>
      </c>
      <c r="AS28" s="1"/>
      <c r="AT28" s="1">
        <v>1</v>
      </c>
      <c r="AU28" s="1"/>
      <c r="AV28" s="1" t="s">
        <v>58</v>
      </c>
    </row>
    <row r="29" spans="1:48" ht="15.75" customHeight="1" x14ac:dyDescent="0.3">
      <c r="A29" s="1">
        <v>30</v>
      </c>
      <c r="B29" s="19">
        <v>44643</v>
      </c>
      <c r="C29" s="1" t="s">
        <v>159</v>
      </c>
      <c r="D29" s="1" t="s">
        <v>861</v>
      </c>
      <c r="E29" s="1" t="s">
        <v>160</v>
      </c>
      <c r="F29" s="1" t="s">
        <v>87</v>
      </c>
      <c r="G29" s="1">
        <v>27</v>
      </c>
      <c r="H29" s="1"/>
      <c r="I29" s="1" t="s">
        <v>68</v>
      </c>
      <c r="J29" s="1"/>
      <c r="K29" s="1" t="s">
        <v>69</v>
      </c>
      <c r="L29" s="1"/>
      <c r="M29" s="7">
        <f t="shared" si="0"/>
        <v>0</v>
      </c>
      <c r="N29" s="7" t="e">
        <f t="shared" si="1"/>
        <v>#VALUE!</v>
      </c>
      <c r="O29" s="1" t="s">
        <v>39</v>
      </c>
      <c r="P29" s="1"/>
      <c r="Q29" s="1" t="s">
        <v>38</v>
      </c>
      <c r="R29" s="1" t="s">
        <v>69</v>
      </c>
      <c r="S29" s="1"/>
      <c r="T29" s="1" t="s">
        <v>41</v>
      </c>
      <c r="U29" s="1" t="s">
        <v>41</v>
      </c>
      <c r="V29" s="1"/>
      <c r="W29" s="1"/>
      <c r="X29" s="1"/>
      <c r="Y29" s="1" t="s">
        <v>41</v>
      </c>
      <c r="Z29" s="1"/>
      <c r="AA29" s="1" t="s">
        <v>41</v>
      </c>
      <c r="AB29" s="1"/>
      <c r="AC29" s="1" t="s">
        <v>41</v>
      </c>
      <c r="AD29" s="1"/>
      <c r="AE29" s="1"/>
      <c r="AF29" s="1"/>
      <c r="AG29" s="1" t="s">
        <v>38</v>
      </c>
      <c r="AH29" s="1"/>
      <c r="AI29" s="1"/>
      <c r="AJ29" s="1"/>
      <c r="AK29" s="1"/>
      <c r="AL29" s="1"/>
      <c r="AM29" s="1"/>
      <c r="AN29" s="1"/>
      <c r="AO29" s="1"/>
      <c r="AP29" s="50"/>
      <c r="AQ29" s="50"/>
      <c r="AR29" s="1"/>
      <c r="AS29" s="1"/>
      <c r="AT29" s="1"/>
      <c r="AU29" s="1"/>
      <c r="AV29" s="1"/>
    </row>
    <row r="30" spans="1:48" ht="15.75" customHeight="1" x14ac:dyDescent="0.3">
      <c r="A30" s="1">
        <v>31</v>
      </c>
      <c r="B30" s="18">
        <v>44450</v>
      </c>
      <c r="C30" s="1" t="s">
        <v>161</v>
      </c>
      <c r="D30" s="1" t="s">
        <v>161</v>
      </c>
      <c r="E30" s="1" t="s">
        <v>160</v>
      </c>
      <c r="F30" s="1" t="s">
        <v>87</v>
      </c>
      <c r="G30" s="1">
        <v>27</v>
      </c>
      <c r="H30" s="1"/>
      <c r="I30" s="1" t="s">
        <v>68</v>
      </c>
      <c r="J30" s="1"/>
      <c r="K30" s="1">
        <v>80</v>
      </c>
      <c r="L30" s="1">
        <v>158</v>
      </c>
      <c r="M30" s="7">
        <f t="shared" si="0"/>
        <v>1.58</v>
      </c>
      <c r="N30" s="7">
        <f t="shared" si="1"/>
        <v>32.046146450889275</v>
      </c>
      <c r="O30" s="1" t="s">
        <v>39</v>
      </c>
      <c r="P30" s="1">
        <v>36.4</v>
      </c>
      <c r="Q30" s="1" t="s">
        <v>38</v>
      </c>
      <c r="R30" s="1" t="s">
        <v>150</v>
      </c>
      <c r="S30" s="1" t="s">
        <v>38</v>
      </c>
      <c r="T30" s="1" t="s">
        <v>162</v>
      </c>
      <c r="U30" s="1" t="s">
        <v>41</v>
      </c>
      <c r="V30" s="1"/>
      <c r="W30" s="1" t="s">
        <v>41</v>
      </c>
      <c r="X30" s="1"/>
      <c r="Y30" s="1" t="s">
        <v>69</v>
      </c>
      <c r="Z30" s="1"/>
      <c r="AA30" s="1" t="s">
        <v>41</v>
      </c>
      <c r="AB30" s="1"/>
      <c r="AC30" s="1" t="s">
        <v>69</v>
      </c>
      <c r="AD30" s="1"/>
      <c r="AE30" s="1" t="s">
        <v>41</v>
      </c>
      <c r="AF30" s="1"/>
      <c r="AG30" s="1" t="s">
        <v>38</v>
      </c>
      <c r="AH30" s="1" t="s">
        <v>41</v>
      </c>
      <c r="AI30" s="1" t="s">
        <v>41</v>
      </c>
      <c r="AJ30" s="1" t="s">
        <v>41</v>
      </c>
      <c r="AK30" s="1" t="s">
        <v>41</v>
      </c>
      <c r="AL30" s="1" t="s">
        <v>41</v>
      </c>
      <c r="AM30" s="1"/>
      <c r="AN30" s="1" t="s">
        <v>41</v>
      </c>
      <c r="AO30" s="1"/>
      <c r="AP30" s="50" t="s">
        <v>163</v>
      </c>
      <c r="AQ30" s="50" t="s">
        <v>72</v>
      </c>
      <c r="AR30" s="1">
        <v>1</v>
      </c>
      <c r="AS30" s="1"/>
      <c r="AT30" s="1">
        <v>1</v>
      </c>
      <c r="AU30" s="1"/>
      <c r="AV30" s="1" t="s">
        <v>58</v>
      </c>
    </row>
    <row r="31" spans="1:48" ht="15.75" customHeight="1" x14ac:dyDescent="0.3">
      <c r="A31" s="1">
        <v>32</v>
      </c>
      <c r="B31" s="18">
        <v>44450</v>
      </c>
      <c r="C31" s="1" t="s">
        <v>164</v>
      </c>
      <c r="D31" s="1" t="s">
        <v>164</v>
      </c>
      <c r="E31" s="1" t="s">
        <v>36</v>
      </c>
      <c r="F31" s="1" t="s">
        <v>36</v>
      </c>
      <c r="G31" s="1">
        <v>28</v>
      </c>
      <c r="H31" s="1"/>
      <c r="I31" s="1" t="s">
        <v>68</v>
      </c>
      <c r="J31" s="1"/>
      <c r="K31" s="1" t="s">
        <v>69</v>
      </c>
      <c r="L31" s="1" t="s">
        <v>69</v>
      </c>
      <c r="M31" s="7" t="e">
        <f t="shared" si="0"/>
        <v>#VALUE!</v>
      </c>
      <c r="N31" s="7" t="e">
        <f t="shared" si="1"/>
        <v>#VALUE!</v>
      </c>
      <c r="O31" s="1" t="s">
        <v>39</v>
      </c>
      <c r="P31" s="1" t="s">
        <v>69</v>
      </c>
      <c r="Q31" s="1" t="s">
        <v>38</v>
      </c>
      <c r="R31" s="1" t="s">
        <v>165</v>
      </c>
      <c r="S31" s="1" t="s">
        <v>38</v>
      </c>
      <c r="T31" s="1" t="s">
        <v>43</v>
      </c>
      <c r="U31" s="1" t="s">
        <v>38</v>
      </c>
      <c r="V31" s="1" t="s">
        <v>65</v>
      </c>
      <c r="W31" s="1" t="s">
        <v>41</v>
      </c>
      <c r="X31" s="1"/>
      <c r="Y31" s="1" t="s">
        <v>41</v>
      </c>
      <c r="Z31" s="1"/>
      <c r="AA31" s="1" t="s">
        <v>38</v>
      </c>
      <c r="AB31" s="1" t="s">
        <v>53</v>
      </c>
      <c r="AC31" s="1" t="s">
        <v>41</v>
      </c>
      <c r="AD31" s="1"/>
      <c r="AE31" s="1" t="s">
        <v>41</v>
      </c>
      <c r="AF31" s="1"/>
      <c r="AG31" s="1" t="s">
        <v>38</v>
      </c>
      <c r="AH31" s="1" t="s">
        <v>41</v>
      </c>
      <c r="AI31" s="1" t="s">
        <v>41</v>
      </c>
      <c r="AJ31" s="1" t="s">
        <v>41</v>
      </c>
      <c r="AK31" s="1" t="s">
        <v>41</v>
      </c>
      <c r="AL31" s="1" t="s">
        <v>41</v>
      </c>
      <c r="AM31" s="1"/>
      <c r="AN31" s="1"/>
      <c r="AO31" s="1"/>
      <c r="AP31" s="50" t="s">
        <v>166</v>
      </c>
      <c r="AQ31" s="50" t="s">
        <v>57</v>
      </c>
      <c r="AR31" s="1">
        <v>2</v>
      </c>
      <c r="AS31" s="1"/>
      <c r="AT31" s="1">
        <v>1</v>
      </c>
      <c r="AU31" s="1"/>
      <c r="AV31" s="1" t="s">
        <v>58</v>
      </c>
    </row>
    <row r="32" spans="1:48" ht="15.75" customHeight="1" x14ac:dyDescent="0.3">
      <c r="A32" s="1">
        <v>33</v>
      </c>
      <c r="B32" s="18">
        <v>44595</v>
      </c>
      <c r="C32" s="1" t="s">
        <v>167</v>
      </c>
      <c r="D32" s="1" t="s">
        <v>167</v>
      </c>
      <c r="E32" s="1" t="s">
        <v>168</v>
      </c>
      <c r="F32" s="1" t="s">
        <v>36</v>
      </c>
      <c r="G32" s="1">
        <v>43</v>
      </c>
      <c r="H32" s="1"/>
      <c r="I32" s="1" t="s">
        <v>68</v>
      </c>
      <c r="J32" s="1"/>
      <c r="K32" s="1">
        <v>57</v>
      </c>
      <c r="L32" s="1" t="s">
        <v>69</v>
      </c>
      <c r="M32" s="7" t="e">
        <f t="shared" si="0"/>
        <v>#VALUE!</v>
      </c>
      <c r="N32" s="7" t="e">
        <f t="shared" si="1"/>
        <v>#VALUE!</v>
      </c>
      <c r="O32" s="1" t="s">
        <v>39</v>
      </c>
      <c r="P32" s="1">
        <v>37</v>
      </c>
      <c r="Q32" s="1" t="s">
        <v>38</v>
      </c>
      <c r="R32" s="1" t="s">
        <v>43</v>
      </c>
      <c r="S32" s="1" t="s">
        <v>38</v>
      </c>
      <c r="T32" s="1" t="s">
        <v>43</v>
      </c>
      <c r="U32" s="1" t="s">
        <v>104</v>
      </c>
      <c r="V32" s="1" t="s">
        <v>43</v>
      </c>
      <c r="W32" s="1" t="s">
        <v>38</v>
      </c>
      <c r="X32" s="1" t="s">
        <v>43</v>
      </c>
      <c r="Y32" s="1" t="s">
        <v>38</v>
      </c>
      <c r="Z32" s="1" t="s">
        <v>43</v>
      </c>
      <c r="AA32" s="1" t="s">
        <v>38</v>
      </c>
      <c r="AB32" s="1" t="s">
        <v>43</v>
      </c>
      <c r="AC32" s="1" t="s">
        <v>41</v>
      </c>
      <c r="AD32" s="1"/>
      <c r="AE32" s="1" t="s">
        <v>169</v>
      </c>
      <c r="AF32" s="1"/>
      <c r="AG32" s="1" t="s">
        <v>38</v>
      </c>
      <c r="AH32" s="1" t="s">
        <v>41</v>
      </c>
      <c r="AI32" s="1" t="s">
        <v>41</v>
      </c>
      <c r="AJ32" s="1" t="s">
        <v>38</v>
      </c>
      <c r="AK32" s="1" t="s">
        <v>38</v>
      </c>
      <c r="AL32" s="1" t="s">
        <v>41</v>
      </c>
      <c r="AM32" s="1"/>
      <c r="AN32" s="1"/>
      <c r="AO32" s="1"/>
      <c r="AP32" s="50" t="s">
        <v>118</v>
      </c>
      <c r="AQ32" s="50" t="s">
        <v>45</v>
      </c>
      <c r="AR32" s="1">
        <v>2</v>
      </c>
      <c r="AS32" s="1"/>
      <c r="AT32" s="1">
        <v>1</v>
      </c>
      <c r="AU32" s="1"/>
      <c r="AV32" s="1" t="s">
        <v>58</v>
      </c>
    </row>
    <row r="33" spans="1:48" ht="15.75" customHeight="1" x14ac:dyDescent="0.3">
      <c r="A33" s="1">
        <v>34</v>
      </c>
      <c r="B33" s="6">
        <v>44510</v>
      </c>
      <c r="C33" s="1" t="s">
        <v>170</v>
      </c>
      <c r="D33" s="1" t="s">
        <v>170</v>
      </c>
      <c r="E33" s="1" t="s">
        <v>171</v>
      </c>
      <c r="F33" s="1" t="s">
        <v>36</v>
      </c>
      <c r="G33" s="1">
        <v>52</v>
      </c>
      <c r="H33" s="1"/>
      <c r="I33" s="1" t="s">
        <v>68</v>
      </c>
      <c r="J33" s="1"/>
      <c r="K33" s="1">
        <v>42</v>
      </c>
      <c r="L33" s="1">
        <v>172</v>
      </c>
      <c r="M33" s="7">
        <f t="shared" si="0"/>
        <v>1.72</v>
      </c>
      <c r="N33" s="7">
        <f t="shared" si="1"/>
        <v>14.196863169280693</v>
      </c>
      <c r="O33" s="1" t="s">
        <v>39</v>
      </c>
      <c r="P33" s="1">
        <v>36.700000000000003</v>
      </c>
      <c r="Q33" s="1" t="s">
        <v>38</v>
      </c>
      <c r="R33" s="1" t="s">
        <v>165</v>
      </c>
      <c r="S33" s="1" t="s">
        <v>38</v>
      </c>
      <c r="T33" s="1" t="s">
        <v>43</v>
      </c>
      <c r="U33" s="1" t="s">
        <v>38</v>
      </c>
      <c r="V33" s="1" t="s">
        <v>50</v>
      </c>
      <c r="W33" s="1" t="s">
        <v>38</v>
      </c>
      <c r="X33" s="1" t="s">
        <v>50</v>
      </c>
      <c r="Y33" s="1" t="s">
        <v>41</v>
      </c>
      <c r="Z33" s="1"/>
      <c r="AA33" s="1" t="s">
        <v>41</v>
      </c>
      <c r="AB33" s="1"/>
      <c r="AC33" s="1" t="s">
        <v>38</v>
      </c>
      <c r="AD33" s="1" t="s">
        <v>165</v>
      </c>
      <c r="AE33" s="1" t="s">
        <v>41</v>
      </c>
      <c r="AF33" s="1"/>
      <c r="AG33" s="1" t="s">
        <v>41</v>
      </c>
      <c r="AH33" s="1" t="s">
        <v>41</v>
      </c>
      <c r="AI33" s="1" t="s">
        <v>41</v>
      </c>
      <c r="AJ33" s="1" t="s">
        <v>38</v>
      </c>
      <c r="AK33" s="1" t="s">
        <v>41</v>
      </c>
      <c r="AL33" s="1" t="s">
        <v>41</v>
      </c>
      <c r="AM33" s="1"/>
      <c r="AN33" s="1"/>
      <c r="AO33" s="1"/>
      <c r="AP33" s="50" t="s">
        <v>166</v>
      </c>
      <c r="AQ33" s="50" t="s">
        <v>172</v>
      </c>
      <c r="AR33" s="1">
        <v>1</v>
      </c>
      <c r="AS33" s="1"/>
      <c r="AT33" s="1">
        <v>1</v>
      </c>
      <c r="AU33" s="1"/>
      <c r="AV33" s="1" t="s">
        <v>106</v>
      </c>
    </row>
    <row r="34" spans="1:48" ht="15.75" customHeight="1" x14ac:dyDescent="0.3">
      <c r="A34" s="1">
        <v>35</v>
      </c>
      <c r="B34" s="6">
        <v>44510</v>
      </c>
      <c r="C34" s="1" t="s">
        <v>173</v>
      </c>
      <c r="D34" s="1" t="s">
        <v>173</v>
      </c>
      <c r="E34" s="1" t="s">
        <v>148</v>
      </c>
      <c r="F34" s="1" t="s">
        <v>87</v>
      </c>
      <c r="G34" s="1">
        <v>23</v>
      </c>
      <c r="H34" s="1"/>
      <c r="I34" s="1" t="s">
        <v>68</v>
      </c>
      <c r="J34" s="1"/>
      <c r="K34" s="1">
        <v>65</v>
      </c>
      <c r="L34" s="1">
        <v>154.5</v>
      </c>
      <c r="M34" s="7">
        <f t="shared" si="0"/>
        <v>1.5449999999999999</v>
      </c>
      <c r="N34" s="7">
        <f t="shared" si="1"/>
        <v>27.230548486086239</v>
      </c>
      <c r="O34" s="1" t="s">
        <v>39</v>
      </c>
      <c r="P34" s="1">
        <v>36.4</v>
      </c>
      <c r="Q34" s="1" t="s">
        <v>38</v>
      </c>
      <c r="R34" s="1" t="s">
        <v>110</v>
      </c>
      <c r="S34" s="1" t="s">
        <v>38</v>
      </c>
      <c r="T34" s="1" t="s">
        <v>51</v>
      </c>
      <c r="U34" s="1" t="s">
        <v>38</v>
      </c>
      <c r="V34" s="1" t="s">
        <v>65</v>
      </c>
      <c r="W34" s="1" t="s">
        <v>41</v>
      </c>
      <c r="X34" s="1"/>
      <c r="Y34" s="1" t="s">
        <v>41</v>
      </c>
      <c r="Z34" s="1"/>
      <c r="AA34" s="1" t="s">
        <v>41</v>
      </c>
      <c r="AB34" s="1"/>
      <c r="AC34" s="1" t="s">
        <v>41</v>
      </c>
      <c r="AD34" s="1"/>
      <c r="AE34" s="1" t="s">
        <v>41</v>
      </c>
      <c r="AF34" s="1"/>
      <c r="AG34" s="1" t="s">
        <v>41</v>
      </c>
      <c r="AH34" s="1" t="s">
        <v>41</v>
      </c>
      <c r="AI34" s="1" t="s">
        <v>41</v>
      </c>
      <c r="AJ34" s="1" t="s">
        <v>41</v>
      </c>
      <c r="AK34" s="1" t="s">
        <v>41</v>
      </c>
      <c r="AL34" s="1" t="s">
        <v>41</v>
      </c>
      <c r="AM34" s="1"/>
      <c r="AN34" s="1"/>
      <c r="AO34" s="1"/>
      <c r="AP34" s="50" t="s">
        <v>174</v>
      </c>
      <c r="AQ34" s="50" t="s">
        <v>175</v>
      </c>
      <c r="AR34" s="1">
        <v>4</v>
      </c>
      <c r="AS34" s="1"/>
      <c r="AT34" s="1">
        <v>3</v>
      </c>
      <c r="AU34" s="1"/>
      <c r="AV34" s="1" t="s">
        <v>58</v>
      </c>
    </row>
    <row r="35" spans="1:48" ht="15.75" customHeight="1" x14ac:dyDescent="0.3">
      <c r="A35" s="1">
        <v>36</v>
      </c>
      <c r="B35" s="6">
        <v>44510</v>
      </c>
      <c r="C35" s="1" t="s">
        <v>176</v>
      </c>
      <c r="D35" s="1" t="s">
        <v>176</v>
      </c>
      <c r="E35" s="1" t="s">
        <v>177</v>
      </c>
      <c r="F35" s="1" t="s">
        <v>36</v>
      </c>
      <c r="G35" s="1">
        <v>28</v>
      </c>
      <c r="H35" s="1"/>
      <c r="I35" s="1" t="s">
        <v>68</v>
      </c>
      <c r="J35" s="1"/>
      <c r="K35" s="1">
        <v>45</v>
      </c>
      <c r="L35" s="1">
        <v>166</v>
      </c>
      <c r="M35" s="7">
        <f t="shared" si="0"/>
        <v>1.66</v>
      </c>
      <c r="N35" s="7">
        <f t="shared" si="1"/>
        <v>16.330381768036002</v>
      </c>
      <c r="O35" s="1" t="s">
        <v>39</v>
      </c>
      <c r="P35" s="1">
        <v>36.6</v>
      </c>
      <c r="Q35" s="1" t="s">
        <v>38</v>
      </c>
      <c r="R35" s="1" t="s">
        <v>64</v>
      </c>
      <c r="S35" s="1" t="s">
        <v>41</v>
      </c>
      <c r="T35" s="1"/>
      <c r="U35" s="1" t="s">
        <v>38</v>
      </c>
      <c r="V35" s="1" t="s">
        <v>64</v>
      </c>
      <c r="W35" s="1" t="s">
        <v>41</v>
      </c>
      <c r="X35" s="1"/>
      <c r="Y35" s="1" t="s">
        <v>41</v>
      </c>
      <c r="Z35" s="1"/>
      <c r="AA35" s="1" t="s">
        <v>38</v>
      </c>
      <c r="AB35" s="1" t="s">
        <v>114</v>
      </c>
      <c r="AC35" s="1" t="s">
        <v>41</v>
      </c>
      <c r="AD35" s="1"/>
      <c r="AE35" s="1"/>
      <c r="AF35" s="1"/>
      <c r="AG35" s="1" t="s">
        <v>41</v>
      </c>
      <c r="AH35" s="1" t="s">
        <v>41</v>
      </c>
      <c r="AI35" s="1" t="s">
        <v>41</v>
      </c>
      <c r="AJ35" s="1" t="s">
        <v>38</v>
      </c>
      <c r="AK35" s="1" t="s">
        <v>41</v>
      </c>
      <c r="AL35" s="1" t="s">
        <v>41</v>
      </c>
      <c r="AM35" s="1"/>
      <c r="AN35" s="1"/>
      <c r="AO35" s="1"/>
      <c r="AP35" s="50" t="s">
        <v>178</v>
      </c>
      <c r="AQ35" s="50" t="s">
        <v>45</v>
      </c>
      <c r="AR35" s="1">
        <v>1</v>
      </c>
      <c r="AS35" s="1"/>
      <c r="AT35" s="1">
        <v>1</v>
      </c>
      <c r="AU35" s="1"/>
      <c r="AV35" s="1" t="s">
        <v>58</v>
      </c>
    </row>
    <row r="36" spans="1:48" ht="15.75" customHeight="1" x14ac:dyDescent="0.3">
      <c r="A36" s="1">
        <v>37</v>
      </c>
      <c r="B36" s="6">
        <v>44627</v>
      </c>
      <c r="C36" s="1" t="s">
        <v>179</v>
      </c>
      <c r="D36" s="1" t="s">
        <v>859</v>
      </c>
      <c r="E36" s="1" t="s">
        <v>180</v>
      </c>
      <c r="F36" s="1" t="s">
        <v>87</v>
      </c>
      <c r="G36" s="1">
        <v>26</v>
      </c>
      <c r="H36" s="1"/>
      <c r="I36" s="1" t="s">
        <v>37</v>
      </c>
      <c r="J36" s="1" t="s">
        <v>38</v>
      </c>
      <c r="K36" s="1">
        <v>50</v>
      </c>
      <c r="L36" s="1"/>
      <c r="M36" s="7">
        <f t="shared" si="0"/>
        <v>0</v>
      </c>
      <c r="N36" s="7" t="e">
        <f t="shared" si="1"/>
        <v>#DIV/0!</v>
      </c>
      <c r="O36" s="1" t="s">
        <v>39</v>
      </c>
      <c r="P36" s="1">
        <v>37</v>
      </c>
      <c r="Q36" s="1" t="s">
        <v>41</v>
      </c>
      <c r="R36" s="1"/>
      <c r="S36" s="1" t="s">
        <v>41</v>
      </c>
      <c r="T36" s="1"/>
      <c r="U36" s="1" t="s">
        <v>41</v>
      </c>
      <c r="V36" s="1"/>
      <c r="W36" s="1" t="s">
        <v>41</v>
      </c>
      <c r="X36" s="1"/>
      <c r="Y36" s="1" t="s">
        <v>41</v>
      </c>
      <c r="Z36" s="1"/>
      <c r="AA36" s="1" t="s">
        <v>38</v>
      </c>
      <c r="AB36" s="1" t="s">
        <v>43</v>
      </c>
      <c r="AC36" s="1"/>
      <c r="AD36" s="1"/>
      <c r="AE36" s="1"/>
      <c r="AF36" s="1"/>
      <c r="AG36" s="1" t="s">
        <v>38</v>
      </c>
      <c r="AH36" s="1"/>
      <c r="AI36" s="1"/>
      <c r="AJ36" s="1"/>
      <c r="AK36" s="7" t="s">
        <v>41</v>
      </c>
      <c r="AL36" s="1"/>
      <c r="AM36" s="1"/>
      <c r="AN36" s="1"/>
      <c r="AO36" s="1"/>
      <c r="AP36" s="50"/>
      <c r="AQ36" s="50"/>
      <c r="AR36" s="1"/>
      <c r="AS36" s="1"/>
      <c r="AT36" s="1"/>
      <c r="AU36" s="1"/>
      <c r="AV36" s="1"/>
    </row>
    <row r="37" spans="1:48" ht="15.75" customHeight="1" x14ac:dyDescent="0.3">
      <c r="A37" s="1">
        <v>189</v>
      </c>
      <c r="B37" s="16">
        <v>44875</v>
      </c>
      <c r="C37" s="1" t="s">
        <v>89</v>
      </c>
      <c r="D37" s="1" t="s">
        <v>89</v>
      </c>
      <c r="E37" s="1" t="s">
        <v>608</v>
      </c>
      <c r="F37" s="1" t="s">
        <v>36</v>
      </c>
      <c r="G37" s="1">
        <v>66</v>
      </c>
      <c r="H37" s="1"/>
      <c r="I37" s="1" t="s">
        <v>188</v>
      </c>
      <c r="J37" s="1"/>
      <c r="K37" s="1">
        <v>45</v>
      </c>
      <c r="L37" s="1">
        <v>155</v>
      </c>
      <c r="M37" s="7">
        <f t="shared" si="0"/>
        <v>1.55</v>
      </c>
      <c r="N37" s="7">
        <f t="shared" si="1"/>
        <v>18.730489073881373</v>
      </c>
      <c r="O37" s="1" t="s">
        <v>39</v>
      </c>
      <c r="P37" s="1">
        <v>37</v>
      </c>
      <c r="Q37" s="1" t="s">
        <v>38</v>
      </c>
      <c r="R37" s="1" t="s">
        <v>55</v>
      </c>
      <c r="S37" s="1" t="s">
        <v>41</v>
      </c>
      <c r="T37" s="1"/>
      <c r="U37" s="1" t="s">
        <v>41</v>
      </c>
      <c r="V37" s="1"/>
      <c r="W37" s="1" t="s">
        <v>41</v>
      </c>
      <c r="X37" s="1"/>
      <c r="Y37" s="1" t="s">
        <v>41</v>
      </c>
      <c r="Z37" s="1"/>
      <c r="AA37" s="1" t="s">
        <v>41</v>
      </c>
      <c r="AB37" s="1"/>
      <c r="AC37" s="1" t="s">
        <v>41</v>
      </c>
      <c r="AD37" s="1"/>
      <c r="AE37" s="1" t="s">
        <v>41</v>
      </c>
      <c r="AF37" s="1"/>
      <c r="AG37" s="1" t="s">
        <v>38</v>
      </c>
      <c r="AH37" s="1" t="s">
        <v>41</v>
      </c>
      <c r="AI37" s="1" t="s">
        <v>41</v>
      </c>
      <c r="AJ37" s="1" t="s">
        <v>38</v>
      </c>
      <c r="AK37" s="1" t="s">
        <v>38</v>
      </c>
      <c r="AL37" s="1" t="s">
        <v>41</v>
      </c>
      <c r="AM37" s="1" t="s">
        <v>41</v>
      </c>
      <c r="AN37" s="1" t="s">
        <v>41</v>
      </c>
      <c r="AO37" s="1" t="s">
        <v>41</v>
      </c>
      <c r="AP37" s="50" t="s">
        <v>437</v>
      </c>
      <c r="AQ37" s="50" t="s">
        <v>72</v>
      </c>
      <c r="AR37" s="1">
        <v>8</v>
      </c>
      <c r="AS37" s="1"/>
      <c r="AT37" s="1">
        <v>5</v>
      </c>
      <c r="AU37" s="1"/>
      <c r="AV37" s="1" t="s">
        <v>46</v>
      </c>
    </row>
    <row r="38" spans="1:48" ht="15.75" customHeight="1" x14ac:dyDescent="0.3">
      <c r="A38" s="1">
        <v>40</v>
      </c>
      <c r="B38" s="18">
        <v>44806</v>
      </c>
      <c r="C38" s="1" t="s">
        <v>186</v>
      </c>
      <c r="D38" s="1" t="s">
        <v>186</v>
      </c>
      <c r="E38" s="1" t="s">
        <v>187</v>
      </c>
      <c r="F38" s="1" t="s">
        <v>36</v>
      </c>
      <c r="G38" s="1">
        <v>23</v>
      </c>
      <c r="H38" s="1"/>
      <c r="I38" s="1" t="s">
        <v>68</v>
      </c>
      <c r="J38" s="1"/>
      <c r="K38" s="1">
        <v>45</v>
      </c>
      <c r="L38" s="1" t="s">
        <v>69</v>
      </c>
      <c r="M38" s="7" t="e">
        <f t="shared" si="0"/>
        <v>#VALUE!</v>
      </c>
      <c r="N38" s="7" t="e">
        <f t="shared" si="1"/>
        <v>#VALUE!</v>
      </c>
      <c r="O38" s="1" t="s">
        <v>182</v>
      </c>
      <c r="P38" s="1">
        <v>36.799999999999997</v>
      </c>
      <c r="Q38" s="1" t="s">
        <v>38</v>
      </c>
      <c r="R38" s="1" t="s">
        <v>43</v>
      </c>
      <c r="S38" s="1" t="s">
        <v>38</v>
      </c>
      <c r="T38" s="1"/>
      <c r="U38" s="1" t="s">
        <v>38</v>
      </c>
      <c r="V38" s="1" t="s">
        <v>51</v>
      </c>
      <c r="W38" s="1" t="s">
        <v>41</v>
      </c>
      <c r="X38" s="1"/>
      <c r="Y38" s="1" t="s">
        <v>38</v>
      </c>
      <c r="Z38" s="1"/>
      <c r="AA38" s="1" t="s">
        <v>41</v>
      </c>
      <c r="AB38" s="1"/>
      <c r="AC38" s="1" t="s">
        <v>38</v>
      </c>
      <c r="AD38" s="1" t="s">
        <v>53</v>
      </c>
      <c r="AE38" s="1"/>
      <c r="AF38" s="1"/>
      <c r="AG38" s="1" t="s">
        <v>41</v>
      </c>
      <c r="AH38" s="1" t="s">
        <v>41</v>
      </c>
      <c r="AI38" s="1" t="s">
        <v>41</v>
      </c>
      <c r="AJ38" s="1" t="s">
        <v>41</v>
      </c>
      <c r="AK38" s="1" t="s">
        <v>41</v>
      </c>
      <c r="AL38" s="1" t="s">
        <v>41</v>
      </c>
      <c r="AM38" s="1"/>
      <c r="AN38" s="1"/>
      <c r="AO38" s="1"/>
      <c r="AP38" s="50" t="s">
        <v>71</v>
      </c>
      <c r="AQ38" s="50" t="s">
        <v>99</v>
      </c>
      <c r="AR38" s="1">
        <v>2</v>
      </c>
      <c r="AS38" s="1"/>
      <c r="AT38" s="1">
        <v>4</v>
      </c>
      <c r="AU38" s="1"/>
      <c r="AV38" s="1" t="s">
        <v>106</v>
      </c>
    </row>
    <row r="39" spans="1:48" ht="15.75" customHeight="1" x14ac:dyDescent="0.3">
      <c r="A39" s="1">
        <v>41</v>
      </c>
      <c r="B39" s="1" t="s">
        <v>188</v>
      </c>
      <c r="C39" s="1" t="s">
        <v>189</v>
      </c>
      <c r="D39" s="1" t="s">
        <v>870</v>
      </c>
      <c r="E39" s="1" t="s">
        <v>188</v>
      </c>
      <c r="F39" s="1" t="s">
        <v>188</v>
      </c>
      <c r="G39" s="1" t="s">
        <v>188</v>
      </c>
      <c r="H39" s="1"/>
      <c r="I39" s="1" t="s">
        <v>188</v>
      </c>
      <c r="J39" s="1"/>
      <c r="K39" s="1" t="s">
        <v>69</v>
      </c>
      <c r="L39" s="1"/>
      <c r="M39" s="7">
        <f t="shared" si="0"/>
        <v>0</v>
      </c>
      <c r="N39" s="7" t="e">
        <f t="shared" si="1"/>
        <v>#VALUE!</v>
      </c>
      <c r="O39" s="1" t="s">
        <v>182</v>
      </c>
      <c r="P39" s="1">
        <v>37</v>
      </c>
      <c r="Q39" s="1" t="s">
        <v>38</v>
      </c>
      <c r="R39" s="1" t="s">
        <v>52</v>
      </c>
      <c r="S39" s="1" t="s">
        <v>41</v>
      </c>
      <c r="T39" s="1"/>
      <c r="U39" s="1" t="s">
        <v>41</v>
      </c>
      <c r="V39" s="1"/>
      <c r="W39" s="1" t="s">
        <v>41</v>
      </c>
      <c r="X39" s="1"/>
      <c r="Y39" s="1" t="s">
        <v>41</v>
      </c>
      <c r="Z39" s="1"/>
      <c r="AA39" s="1" t="s">
        <v>41</v>
      </c>
      <c r="AB39" s="1"/>
      <c r="AC39" s="1" t="s">
        <v>41</v>
      </c>
      <c r="AD39" s="1"/>
      <c r="AE39" s="1" t="s">
        <v>190</v>
      </c>
      <c r="AF39" s="1"/>
      <c r="AG39" s="1" t="s">
        <v>38</v>
      </c>
      <c r="AH39" s="1"/>
      <c r="AI39" s="1"/>
      <c r="AJ39" s="1"/>
      <c r="AK39" s="1"/>
      <c r="AL39" s="1"/>
      <c r="AM39" s="1"/>
      <c r="AN39" s="1"/>
      <c r="AO39" s="1"/>
      <c r="AP39" s="50"/>
      <c r="AQ39" s="50"/>
      <c r="AR39" s="1"/>
      <c r="AS39" s="1"/>
      <c r="AT39" s="1"/>
      <c r="AU39" s="1"/>
      <c r="AV39" s="1"/>
    </row>
    <row r="40" spans="1:48" ht="15.75" customHeight="1" x14ac:dyDescent="0.3">
      <c r="A40" s="1">
        <v>42</v>
      </c>
      <c r="B40" s="6">
        <v>44602</v>
      </c>
      <c r="C40" s="1" t="s">
        <v>191</v>
      </c>
      <c r="D40" s="1" t="s">
        <v>191</v>
      </c>
      <c r="E40" s="1" t="s">
        <v>192</v>
      </c>
      <c r="F40" s="1" t="s">
        <v>87</v>
      </c>
      <c r="G40" s="1">
        <v>32</v>
      </c>
      <c r="H40" s="1"/>
      <c r="I40" s="1" t="s">
        <v>68</v>
      </c>
      <c r="J40" s="1"/>
      <c r="K40" s="1">
        <v>58</v>
      </c>
      <c r="L40" s="1">
        <v>165</v>
      </c>
      <c r="M40" s="7">
        <f t="shared" si="0"/>
        <v>1.65</v>
      </c>
      <c r="N40" s="7">
        <f t="shared" si="1"/>
        <v>21.30394857667585</v>
      </c>
      <c r="O40" s="1" t="s">
        <v>182</v>
      </c>
      <c r="P40" s="1">
        <v>37</v>
      </c>
      <c r="Q40" s="1" t="s">
        <v>40</v>
      </c>
      <c r="R40" s="1" t="s">
        <v>193</v>
      </c>
      <c r="S40" s="1" t="s">
        <v>40</v>
      </c>
      <c r="T40" s="1" t="s">
        <v>194</v>
      </c>
      <c r="U40" s="1" t="s">
        <v>40</v>
      </c>
      <c r="V40" s="1" t="s">
        <v>195</v>
      </c>
      <c r="W40" s="1" t="s">
        <v>40</v>
      </c>
      <c r="X40" s="1" t="s">
        <v>193</v>
      </c>
      <c r="Y40" s="1" t="s">
        <v>41</v>
      </c>
      <c r="Z40" s="1"/>
      <c r="AA40" s="1" t="s">
        <v>40</v>
      </c>
      <c r="AB40" s="1"/>
      <c r="AC40" s="1" t="s">
        <v>196</v>
      </c>
      <c r="AD40" s="1"/>
      <c r="AE40" s="1" t="s">
        <v>197</v>
      </c>
      <c r="AF40" s="1"/>
      <c r="AG40" s="1" t="s">
        <v>40</v>
      </c>
      <c r="AH40" s="1" t="s">
        <v>196</v>
      </c>
      <c r="AI40" s="1" t="s">
        <v>196</v>
      </c>
      <c r="AJ40" s="1" t="s">
        <v>196</v>
      </c>
      <c r="AK40" s="1" t="s">
        <v>196</v>
      </c>
      <c r="AL40" s="1" t="s">
        <v>196</v>
      </c>
      <c r="AM40" s="1"/>
      <c r="AN40" s="1"/>
      <c r="AO40" s="1"/>
      <c r="AP40" s="50" t="s">
        <v>198</v>
      </c>
      <c r="AQ40" s="50" t="s">
        <v>199</v>
      </c>
      <c r="AR40" s="1">
        <v>1</v>
      </c>
      <c r="AS40" s="1"/>
      <c r="AT40" s="1">
        <v>1</v>
      </c>
      <c r="AU40" s="1"/>
      <c r="AV40" s="1" t="s">
        <v>200</v>
      </c>
    </row>
    <row r="41" spans="1:48" ht="15.75" customHeight="1" x14ac:dyDescent="0.3">
      <c r="A41" s="1">
        <v>43</v>
      </c>
      <c r="B41" s="6">
        <v>44657</v>
      </c>
      <c r="C41" s="1" t="s">
        <v>201</v>
      </c>
      <c r="D41" s="1" t="s">
        <v>871</v>
      </c>
      <c r="E41" s="1" t="s">
        <v>192</v>
      </c>
      <c r="F41" s="1" t="s">
        <v>87</v>
      </c>
      <c r="G41" s="1">
        <v>32</v>
      </c>
      <c r="H41" s="1"/>
      <c r="I41" s="1" t="s">
        <v>68</v>
      </c>
      <c r="J41" s="1"/>
      <c r="K41" s="1">
        <v>65</v>
      </c>
      <c r="L41" s="1"/>
      <c r="M41" s="7">
        <f t="shared" si="0"/>
        <v>0</v>
      </c>
      <c r="N41" s="7" t="e">
        <f t="shared" si="1"/>
        <v>#DIV/0!</v>
      </c>
      <c r="O41" s="1" t="s">
        <v>182</v>
      </c>
      <c r="P41" s="1"/>
      <c r="Q41" s="1"/>
      <c r="R41" s="1"/>
      <c r="S41" s="1" t="s">
        <v>41</v>
      </c>
      <c r="T41" s="1"/>
      <c r="U41" s="1" t="s">
        <v>41</v>
      </c>
      <c r="V41" s="1" t="s">
        <v>41</v>
      </c>
      <c r="W41" s="1" t="s">
        <v>41</v>
      </c>
      <c r="X41" s="1"/>
      <c r="Y41" s="1" t="s">
        <v>41</v>
      </c>
      <c r="Z41" s="1"/>
      <c r="AA41" s="1" t="s">
        <v>41</v>
      </c>
      <c r="AB41" s="1"/>
      <c r="AC41" s="1" t="s">
        <v>41</v>
      </c>
      <c r="AD41" s="1"/>
      <c r="AE41" s="1"/>
      <c r="AF41" s="1"/>
      <c r="AG41" s="1" t="s">
        <v>38</v>
      </c>
      <c r="AH41" s="1"/>
      <c r="AI41" s="1"/>
      <c r="AJ41" s="1"/>
      <c r="AK41" s="1"/>
      <c r="AL41" s="1"/>
      <c r="AM41" s="1"/>
      <c r="AN41" s="1"/>
      <c r="AO41" s="1"/>
      <c r="AP41" s="50"/>
      <c r="AQ41" s="50"/>
      <c r="AR41" s="1"/>
      <c r="AS41" s="1"/>
      <c r="AT41" s="1"/>
      <c r="AU41" s="1"/>
      <c r="AV41" s="1"/>
    </row>
    <row r="42" spans="1:48" ht="15.75" customHeight="1" x14ac:dyDescent="0.3">
      <c r="A42" s="1">
        <v>44</v>
      </c>
      <c r="B42" s="6">
        <v>44602</v>
      </c>
      <c r="C42" s="1" t="s">
        <v>202</v>
      </c>
      <c r="D42" s="1" t="s">
        <v>202</v>
      </c>
      <c r="E42" s="1" t="s">
        <v>203</v>
      </c>
      <c r="F42" s="1" t="s">
        <v>36</v>
      </c>
      <c r="G42" s="1">
        <v>19</v>
      </c>
      <c r="H42" s="17" t="s">
        <v>204</v>
      </c>
      <c r="I42" s="1" t="s">
        <v>68</v>
      </c>
      <c r="J42" s="1"/>
      <c r="K42" s="1">
        <v>46</v>
      </c>
      <c r="L42" s="1">
        <v>151</v>
      </c>
      <c r="M42" s="7">
        <f t="shared" si="0"/>
        <v>1.51</v>
      </c>
      <c r="N42" s="7">
        <f t="shared" si="1"/>
        <v>20.174553747642648</v>
      </c>
      <c r="O42" s="1" t="s">
        <v>182</v>
      </c>
      <c r="P42" s="1">
        <v>36</v>
      </c>
      <c r="Q42" s="1" t="s">
        <v>38</v>
      </c>
      <c r="R42" s="1" t="s">
        <v>43</v>
      </c>
      <c r="S42" s="1" t="s">
        <v>38</v>
      </c>
      <c r="T42" s="1" t="s">
        <v>43</v>
      </c>
      <c r="U42" s="1" t="s">
        <v>38</v>
      </c>
      <c r="V42" s="1" t="s">
        <v>195</v>
      </c>
      <c r="W42" s="1" t="s">
        <v>38</v>
      </c>
      <c r="X42" s="1" t="s">
        <v>43</v>
      </c>
      <c r="Y42" s="1" t="s">
        <v>41</v>
      </c>
      <c r="Z42" s="1"/>
      <c r="AA42" s="1" t="s">
        <v>41</v>
      </c>
      <c r="AB42" s="1"/>
      <c r="AC42" s="1" t="s">
        <v>41</v>
      </c>
      <c r="AD42" s="1"/>
      <c r="AE42" s="1"/>
      <c r="AF42" s="1"/>
      <c r="AG42" s="1" t="s">
        <v>38</v>
      </c>
      <c r="AH42" s="1" t="s">
        <v>41</v>
      </c>
      <c r="AI42" s="1" t="s">
        <v>41</v>
      </c>
      <c r="AJ42" s="1" t="s">
        <v>41</v>
      </c>
      <c r="AK42" s="1" t="s">
        <v>41</v>
      </c>
      <c r="AL42" s="1" t="s">
        <v>41</v>
      </c>
      <c r="AM42" s="1"/>
      <c r="AN42" s="1"/>
      <c r="AO42" s="1"/>
      <c r="AP42" s="50" t="s">
        <v>141</v>
      </c>
      <c r="AQ42" s="50" t="s">
        <v>72</v>
      </c>
      <c r="AR42" s="1">
        <v>3</v>
      </c>
      <c r="AS42" s="1"/>
      <c r="AT42" s="1">
        <v>2</v>
      </c>
      <c r="AU42" s="1"/>
      <c r="AV42" s="1" t="s">
        <v>58</v>
      </c>
    </row>
    <row r="43" spans="1:48" ht="15.75" customHeight="1" x14ac:dyDescent="0.3">
      <c r="A43" s="1">
        <v>45</v>
      </c>
      <c r="B43" s="19">
        <v>44658</v>
      </c>
      <c r="C43" s="1" t="s">
        <v>205</v>
      </c>
      <c r="D43" s="1" t="s">
        <v>872</v>
      </c>
      <c r="E43" s="1" t="s">
        <v>188</v>
      </c>
      <c r="F43" s="1" t="s">
        <v>36</v>
      </c>
      <c r="G43" s="1" t="s">
        <v>188</v>
      </c>
      <c r="H43" s="1"/>
      <c r="I43" s="1" t="s">
        <v>68</v>
      </c>
      <c r="J43" s="1"/>
      <c r="K43" s="1">
        <v>48</v>
      </c>
      <c r="L43" s="1"/>
      <c r="M43" s="7">
        <f t="shared" si="0"/>
        <v>0</v>
      </c>
      <c r="N43" s="7" t="e">
        <f t="shared" si="1"/>
        <v>#DIV/0!</v>
      </c>
      <c r="O43" s="1" t="s">
        <v>182</v>
      </c>
      <c r="P43" s="1">
        <v>37</v>
      </c>
      <c r="Q43" s="1" t="s">
        <v>38</v>
      </c>
      <c r="R43" s="1" t="s">
        <v>53</v>
      </c>
      <c r="S43" s="1" t="s">
        <v>41</v>
      </c>
      <c r="T43" s="1"/>
      <c r="U43" s="1" t="s">
        <v>41</v>
      </c>
      <c r="V43" s="1"/>
      <c r="W43" s="1" t="s">
        <v>41</v>
      </c>
      <c r="X43" s="1"/>
      <c r="Y43" s="1" t="s">
        <v>41</v>
      </c>
      <c r="Z43" s="1"/>
      <c r="AA43" s="1" t="s">
        <v>41</v>
      </c>
      <c r="AB43" s="1"/>
      <c r="AC43" s="1" t="s">
        <v>41</v>
      </c>
      <c r="AD43" s="1"/>
      <c r="AE43" s="1" t="s">
        <v>41</v>
      </c>
      <c r="AF43" s="1"/>
      <c r="AG43" s="1" t="s">
        <v>38</v>
      </c>
      <c r="AH43" s="1"/>
      <c r="AI43" s="1"/>
      <c r="AJ43" s="1"/>
      <c r="AK43" s="1"/>
      <c r="AL43" s="1"/>
      <c r="AM43" s="1"/>
      <c r="AN43" s="1"/>
      <c r="AO43" s="1"/>
      <c r="AP43" s="50"/>
      <c r="AQ43" s="50"/>
      <c r="AR43" s="1"/>
      <c r="AS43" s="1"/>
      <c r="AT43" s="1"/>
      <c r="AU43" s="1"/>
      <c r="AV43" s="1"/>
    </row>
    <row r="44" spans="1:48" ht="15.75" customHeight="1" x14ac:dyDescent="0.3">
      <c r="A44" s="1">
        <v>46</v>
      </c>
      <c r="B44" s="16">
        <v>44602</v>
      </c>
      <c r="C44" s="1" t="s">
        <v>206</v>
      </c>
      <c r="D44" s="1" t="s">
        <v>206</v>
      </c>
      <c r="E44" s="1" t="s">
        <v>139</v>
      </c>
      <c r="F44" s="1" t="s">
        <v>36</v>
      </c>
      <c r="G44" s="1">
        <v>21</v>
      </c>
      <c r="H44" s="1"/>
      <c r="I44" s="1" t="s">
        <v>68</v>
      </c>
      <c r="J44" s="1"/>
      <c r="K44" s="1">
        <v>50</v>
      </c>
      <c r="L44" s="1" t="s">
        <v>69</v>
      </c>
      <c r="M44" s="7" t="e">
        <f t="shared" si="0"/>
        <v>#VALUE!</v>
      </c>
      <c r="N44" s="7" t="e">
        <f t="shared" si="1"/>
        <v>#VALUE!</v>
      </c>
      <c r="O44" s="1" t="s">
        <v>39</v>
      </c>
      <c r="P44" s="1">
        <v>37</v>
      </c>
      <c r="Q44" s="1" t="s">
        <v>38</v>
      </c>
      <c r="R44" s="1" t="s">
        <v>165</v>
      </c>
      <c r="S44" s="1" t="s">
        <v>38</v>
      </c>
      <c r="T44" s="1" t="s">
        <v>55</v>
      </c>
      <c r="U44" s="1" t="s">
        <v>38</v>
      </c>
      <c r="V44" s="1" t="s">
        <v>165</v>
      </c>
      <c r="W44" s="1" t="s">
        <v>38</v>
      </c>
      <c r="X44" s="1" t="s">
        <v>165</v>
      </c>
      <c r="Y44" s="1" t="s">
        <v>38</v>
      </c>
      <c r="Z44" s="1" t="s">
        <v>55</v>
      </c>
      <c r="AA44" s="1" t="s">
        <v>38</v>
      </c>
      <c r="AB44" s="1" t="s">
        <v>165</v>
      </c>
      <c r="AC44" s="1" t="s">
        <v>38</v>
      </c>
      <c r="AD44" s="1" t="s">
        <v>53</v>
      </c>
      <c r="AE44" s="1" t="s">
        <v>41</v>
      </c>
      <c r="AF44" s="1"/>
      <c r="AG44" s="1" t="s">
        <v>41</v>
      </c>
      <c r="AH44" s="1" t="s">
        <v>41</v>
      </c>
      <c r="AI44" s="1" t="s">
        <v>41</v>
      </c>
      <c r="AJ44" s="1" t="s">
        <v>38</v>
      </c>
      <c r="AK44" s="1" t="s">
        <v>41</v>
      </c>
      <c r="AL44" s="1" t="s">
        <v>41</v>
      </c>
      <c r="AM44" s="1"/>
      <c r="AN44" s="1"/>
      <c r="AO44" s="1"/>
      <c r="AP44" s="50" t="s">
        <v>69</v>
      </c>
      <c r="AQ44" s="50" t="s">
        <v>57</v>
      </c>
      <c r="AR44" s="1" t="s">
        <v>69</v>
      </c>
      <c r="AS44" s="1"/>
      <c r="AT44" s="1" t="s">
        <v>69</v>
      </c>
      <c r="AU44" s="1"/>
      <c r="AV44" s="1" t="s">
        <v>69</v>
      </c>
    </row>
    <row r="45" spans="1:48" ht="15.75" customHeight="1" x14ac:dyDescent="0.3">
      <c r="A45" s="1">
        <v>47</v>
      </c>
      <c r="B45" s="19">
        <v>44662</v>
      </c>
      <c r="C45" s="1" t="s">
        <v>207</v>
      </c>
      <c r="D45" s="1" t="s">
        <v>873</v>
      </c>
      <c r="E45" s="1" t="s">
        <v>139</v>
      </c>
      <c r="F45" s="1" t="s">
        <v>36</v>
      </c>
      <c r="G45" s="1">
        <v>21</v>
      </c>
      <c r="H45" s="1"/>
      <c r="I45" s="1" t="s">
        <v>68</v>
      </c>
      <c r="J45" s="1"/>
      <c r="K45" s="1"/>
      <c r="L45" s="1"/>
      <c r="M45" s="7">
        <f t="shared" si="0"/>
        <v>0</v>
      </c>
      <c r="N45" s="7" t="e">
        <f t="shared" si="1"/>
        <v>#DIV/0!</v>
      </c>
      <c r="O45" s="1" t="s">
        <v>39</v>
      </c>
      <c r="P45" s="1">
        <v>37</v>
      </c>
      <c r="Q45" s="1" t="s">
        <v>38</v>
      </c>
      <c r="R45" s="1" t="s">
        <v>146</v>
      </c>
      <c r="S45" s="1" t="s">
        <v>38</v>
      </c>
      <c r="T45" s="1" t="s">
        <v>51</v>
      </c>
      <c r="U45" s="1" t="s">
        <v>38</v>
      </c>
      <c r="V45" s="1" t="s">
        <v>43</v>
      </c>
      <c r="W45" s="1" t="s">
        <v>38</v>
      </c>
      <c r="X45" s="1" t="s">
        <v>43</v>
      </c>
      <c r="Y45" s="1" t="s">
        <v>38</v>
      </c>
      <c r="Z45" s="1" t="s">
        <v>146</v>
      </c>
      <c r="AA45" s="1" t="s">
        <v>104</v>
      </c>
      <c r="AB45" s="1" t="s">
        <v>146</v>
      </c>
      <c r="AC45" s="1" t="s">
        <v>38</v>
      </c>
      <c r="AD45" s="1" t="s">
        <v>53</v>
      </c>
      <c r="AE45" s="1" t="s">
        <v>208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50"/>
      <c r="AQ45" s="50"/>
      <c r="AR45" s="1"/>
      <c r="AS45" s="1"/>
      <c r="AT45" s="1"/>
      <c r="AU45" s="1"/>
      <c r="AV45" s="1"/>
    </row>
    <row r="46" spans="1:48" ht="15.75" customHeight="1" x14ac:dyDescent="0.3">
      <c r="A46" s="1">
        <v>48</v>
      </c>
      <c r="B46" s="6">
        <v>44508</v>
      </c>
      <c r="C46" s="1" t="s">
        <v>209</v>
      </c>
      <c r="D46" s="1" t="s">
        <v>209</v>
      </c>
      <c r="E46" s="1" t="s">
        <v>148</v>
      </c>
      <c r="F46" s="1" t="s">
        <v>87</v>
      </c>
      <c r="G46" s="1">
        <v>21</v>
      </c>
      <c r="H46" s="1"/>
      <c r="I46" s="1" t="s">
        <v>68</v>
      </c>
      <c r="J46" s="1"/>
      <c r="K46" s="1">
        <v>48</v>
      </c>
      <c r="L46" s="1">
        <v>167</v>
      </c>
      <c r="M46" s="7">
        <f t="shared" si="0"/>
        <v>1.67</v>
      </c>
      <c r="N46" s="7">
        <f t="shared" si="1"/>
        <v>17.21108680841909</v>
      </c>
      <c r="O46" s="1" t="s">
        <v>39</v>
      </c>
      <c r="P46" s="1" t="s">
        <v>69</v>
      </c>
      <c r="Q46" s="1" t="s">
        <v>38</v>
      </c>
      <c r="R46" s="1" t="s">
        <v>43</v>
      </c>
      <c r="S46" s="1" t="s">
        <v>38</v>
      </c>
      <c r="T46" s="1" t="s">
        <v>43</v>
      </c>
      <c r="U46" s="1" t="s">
        <v>38</v>
      </c>
      <c r="V46" s="1" t="s">
        <v>52</v>
      </c>
      <c r="W46" s="1" t="s">
        <v>38</v>
      </c>
      <c r="X46" s="1" t="s">
        <v>51</v>
      </c>
      <c r="Y46" s="1" t="s">
        <v>41</v>
      </c>
      <c r="Z46" s="1"/>
      <c r="AA46" s="1" t="s">
        <v>38</v>
      </c>
      <c r="AB46" s="1" t="s">
        <v>51</v>
      </c>
      <c r="AC46" s="1" t="s">
        <v>41</v>
      </c>
      <c r="AD46" s="1"/>
      <c r="AE46" s="1" t="s">
        <v>41</v>
      </c>
      <c r="AF46" s="1"/>
      <c r="AG46" s="1" t="s">
        <v>41</v>
      </c>
      <c r="AH46" s="1" t="s">
        <v>41</v>
      </c>
      <c r="AI46" s="1" t="s">
        <v>41</v>
      </c>
      <c r="AJ46" s="1" t="s">
        <v>41</v>
      </c>
      <c r="AK46" s="1" t="s">
        <v>41</v>
      </c>
      <c r="AL46" s="1" t="s">
        <v>41</v>
      </c>
      <c r="AM46" s="1"/>
      <c r="AN46" s="1" t="s">
        <v>41</v>
      </c>
      <c r="AO46" s="1"/>
      <c r="AP46" s="50" t="s">
        <v>79</v>
      </c>
      <c r="AQ46" s="50" t="s">
        <v>45</v>
      </c>
      <c r="AR46" s="1">
        <v>4</v>
      </c>
      <c r="AS46" s="1"/>
      <c r="AT46" s="1">
        <v>2</v>
      </c>
      <c r="AU46" s="1"/>
      <c r="AV46" s="1" t="s">
        <v>58</v>
      </c>
    </row>
    <row r="47" spans="1:48" ht="15.75" customHeight="1" x14ac:dyDescent="0.3">
      <c r="A47" s="1">
        <v>49</v>
      </c>
      <c r="B47" s="6">
        <v>44509</v>
      </c>
      <c r="C47" s="1" t="s">
        <v>210</v>
      </c>
      <c r="D47" s="1" t="s">
        <v>210</v>
      </c>
      <c r="E47" s="1" t="s">
        <v>211</v>
      </c>
      <c r="F47" s="1" t="s">
        <v>87</v>
      </c>
      <c r="G47" s="1">
        <v>51</v>
      </c>
      <c r="H47" s="1"/>
      <c r="I47" s="1" t="s">
        <v>68</v>
      </c>
      <c r="J47" s="1"/>
      <c r="K47" s="1">
        <v>65</v>
      </c>
      <c r="L47" s="1">
        <v>163</v>
      </c>
      <c r="M47" s="7">
        <f t="shared" si="0"/>
        <v>1.63</v>
      </c>
      <c r="N47" s="7">
        <f t="shared" si="1"/>
        <v>24.464601603372351</v>
      </c>
      <c r="O47" s="1" t="s">
        <v>39</v>
      </c>
      <c r="P47" s="1">
        <v>36.799999999999997</v>
      </c>
      <c r="Q47" s="1" t="s">
        <v>38</v>
      </c>
      <c r="R47" s="1" t="s">
        <v>43</v>
      </c>
      <c r="S47" s="1" t="s">
        <v>41</v>
      </c>
      <c r="T47" s="1"/>
      <c r="U47" s="1" t="s">
        <v>38</v>
      </c>
      <c r="V47" s="1" t="s">
        <v>43</v>
      </c>
      <c r="W47" s="1" t="s">
        <v>41</v>
      </c>
      <c r="X47" s="1"/>
      <c r="Y47" s="1" t="s">
        <v>41</v>
      </c>
      <c r="Z47" s="1"/>
      <c r="AA47" s="1" t="s">
        <v>38</v>
      </c>
      <c r="AB47" s="1" t="s">
        <v>43</v>
      </c>
      <c r="AC47" s="1" t="s">
        <v>41</v>
      </c>
      <c r="AD47" s="1"/>
      <c r="AE47" s="1" t="s">
        <v>41</v>
      </c>
      <c r="AF47" s="1"/>
      <c r="AG47" s="1" t="s">
        <v>38</v>
      </c>
      <c r="AH47" s="1" t="s">
        <v>38</v>
      </c>
      <c r="AI47" s="1" t="s">
        <v>41</v>
      </c>
      <c r="AJ47" s="1" t="s">
        <v>41</v>
      </c>
      <c r="AK47" s="1" t="s">
        <v>38</v>
      </c>
      <c r="AL47" s="1" t="s">
        <v>41</v>
      </c>
      <c r="AM47" s="1"/>
      <c r="AN47" s="1" t="s">
        <v>38</v>
      </c>
      <c r="AO47" s="1"/>
      <c r="AP47" s="50" t="s">
        <v>166</v>
      </c>
      <c r="AQ47" s="50" t="s">
        <v>57</v>
      </c>
      <c r="AR47" s="1">
        <v>1</v>
      </c>
      <c r="AS47" s="1"/>
      <c r="AT47" s="1">
        <v>1</v>
      </c>
      <c r="AU47" s="1"/>
      <c r="AV47" s="1" t="s">
        <v>58</v>
      </c>
    </row>
    <row r="48" spans="1:48" ht="15.75" customHeight="1" x14ac:dyDescent="0.3">
      <c r="A48" s="1">
        <v>50</v>
      </c>
      <c r="B48" s="6">
        <v>44607</v>
      </c>
      <c r="C48" s="1" t="s">
        <v>212</v>
      </c>
      <c r="D48" s="1" t="s">
        <v>212</v>
      </c>
      <c r="E48" s="1" t="s">
        <v>48</v>
      </c>
      <c r="F48" s="1" t="s">
        <v>36</v>
      </c>
      <c r="G48" s="1">
        <v>37</v>
      </c>
      <c r="H48" s="1"/>
      <c r="I48" s="1" t="s">
        <v>37</v>
      </c>
      <c r="J48" s="1" t="s">
        <v>38</v>
      </c>
      <c r="K48" s="1" t="s">
        <v>69</v>
      </c>
      <c r="L48" s="1" t="s">
        <v>69</v>
      </c>
      <c r="M48" s="7" t="e">
        <f t="shared" si="0"/>
        <v>#VALUE!</v>
      </c>
      <c r="N48" s="7" t="e">
        <f t="shared" si="1"/>
        <v>#VALUE!</v>
      </c>
      <c r="O48" s="1" t="s">
        <v>39</v>
      </c>
      <c r="P48" s="1">
        <v>37</v>
      </c>
      <c r="Q48" s="1" t="s">
        <v>38</v>
      </c>
      <c r="R48" s="1" t="s">
        <v>43</v>
      </c>
      <c r="S48" s="1" t="s">
        <v>38</v>
      </c>
      <c r="T48" s="1" t="s">
        <v>43</v>
      </c>
      <c r="U48" s="1" t="s">
        <v>38</v>
      </c>
      <c r="V48" s="1" t="s">
        <v>65</v>
      </c>
      <c r="W48" s="1" t="s">
        <v>38</v>
      </c>
      <c r="X48" s="1" t="s">
        <v>43</v>
      </c>
      <c r="Y48" s="1" t="s">
        <v>38</v>
      </c>
      <c r="Z48" s="1" t="s">
        <v>65</v>
      </c>
      <c r="AA48" s="1" t="s">
        <v>38</v>
      </c>
      <c r="AB48" s="1" t="s">
        <v>43</v>
      </c>
      <c r="AC48" s="1" t="s">
        <v>41</v>
      </c>
      <c r="AD48" s="1"/>
      <c r="AE48" s="1" t="s">
        <v>38</v>
      </c>
      <c r="AF48" s="1" t="s">
        <v>65</v>
      </c>
      <c r="AG48" s="1" t="s">
        <v>213</v>
      </c>
      <c r="AH48" s="1" t="s">
        <v>38</v>
      </c>
      <c r="AI48" s="1" t="s">
        <v>41</v>
      </c>
      <c r="AJ48" s="1" t="s">
        <v>38</v>
      </c>
      <c r="AK48" s="1" t="s">
        <v>41</v>
      </c>
      <c r="AL48" s="1" t="s">
        <v>41</v>
      </c>
      <c r="AM48" s="1"/>
      <c r="AN48" s="1" t="s">
        <v>38</v>
      </c>
      <c r="AO48" s="1"/>
      <c r="AP48" s="50" t="s">
        <v>214</v>
      </c>
      <c r="AQ48" s="50" t="s">
        <v>99</v>
      </c>
      <c r="AR48" s="1">
        <v>3</v>
      </c>
      <c r="AS48" s="1"/>
      <c r="AT48" s="1">
        <v>1</v>
      </c>
      <c r="AU48" s="1"/>
      <c r="AV48" s="1" t="s">
        <v>58</v>
      </c>
    </row>
    <row r="49" spans="1:48" ht="15.75" customHeight="1" x14ac:dyDescent="0.3">
      <c r="A49" s="1">
        <v>51</v>
      </c>
      <c r="B49" s="19">
        <v>44623</v>
      </c>
      <c r="C49" s="1" t="s">
        <v>215</v>
      </c>
      <c r="D49" s="1" t="s">
        <v>215</v>
      </c>
      <c r="E49" s="1" t="s">
        <v>216</v>
      </c>
      <c r="F49" s="1" t="s">
        <v>87</v>
      </c>
      <c r="G49" s="1">
        <v>20</v>
      </c>
      <c r="H49" s="1"/>
      <c r="I49" s="1" t="s">
        <v>68</v>
      </c>
      <c r="J49" s="1"/>
      <c r="K49" s="1" t="s">
        <v>69</v>
      </c>
      <c r="L49" s="1" t="s">
        <v>69</v>
      </c>
      <c r="M49" s="7" t="e">
        <f t="shared" si="0"/>
        <v>#VALUE!</v>
      </c>
      <c r="N49" s="7" t="e">
        <f t="shared" si="1"/>
        <v>#VALUE!</v>
      </c>
      <c r="O49" s="1" t="s">
        <v>39</v>
      </c>
      <c r="P49" s="1">
        <v>36.299999999999997</v>
      </c>
      <c r="Q49" s="1" t="s">
        <v>38</v>
      </c>
      <c r="R49" s="1" t="s">
        <v>193</v>
      </c>
      <c r="S49" s="1" t="s">
        <v>38</v>
      </c>
      <c r="T49" s="1" t="s">
        <v>65</v>
      </c>
      <c r="U49" s="1" t="s">
        <v>38</v>
      </c>
      <c r="V49" s="1" t="s">
        <v>146</v>
      </c>
      <c r="W49" s="1" t="s">
        <v>38</v>
      </c>
      <c r="X49" s="1" t="s">
        <v>193</v>
      </c>
      <c r="Y49" s="1" t="s">
        <v>38</v>
      </c>
      <c r="Z49" s="1" t="s">
        <v>65</v>
      </c>
      <c r="AA49" s="1" t="s">
        <v>38</v>
      </c>
      <c r="AB49" s="1" t="s">
        <v>65</v>
      </c>
      <c r="AC49" s="1" t="s">
        <v>41</v>
      </c>
      <c r="AD49" s="1"/>
      <c r="AE49" s="1" t="s">
        <v>41</v>
      </c>
      <c r="AF49" s="1"/>
      <c r="AG49" s="1" t="s">
        <v>41</v>
      </c>
      <c r="AH49" s="1" t="s">
        <v>41</v>
      </c>
      <c r="AI49" s="1" t="s">
        <v>41</v>
      </c>
      <c r="AJ49" s="1" t="s">
        <v>41</v>
      </c>
      <c r="AK49" s="1" t="s">
        <v>41</v>
      </c>
      <c r="AL49" s="1" t="s">
        <v>41</v>
      </c>
      <c r="AM49" s="1"/>
      <c r="AN49" s="1" t="s">
        <v>41</v>
      </c>
      <c r="AO49" s="1"/>
      <c r="AP49" s="50" t="s">
        <v>214</v>
      </c>
      <c r="AQ49" s="50" t="s">
        <v>99</v>
      </c>
      <c r="AR49" s="1">
        <v>4</v>
      </c>
      <c r="AS49" s="1"/>
      <c r="AT49" s="1">
        <v>1</v>
      </c>
      <c r="AU49" s="1"/>
      <c r="AV49" s="1" t="s">
        <v>58</v>
      </c>
    </row>
    <row r="50" spans="1:48" ht="15.75" customHeight="1" x14ac:dyDescent="0.3">
      <c r="A50" s="1">
        <v>52</v>
      </c>
      <c r="B50" s="18">
        <v>44623</v>
      </c>
      <c r="C50" s="1" t="s">
        <v>217</v>
      </c>
      <c r="D50" s="1" t="s">
        <v>217</v>
      </c>
      <c r="E50" s="1" t="s">
        <v>218</v>
      </c>
      <c r="F50" s="1" t="s">
        <v>87</v>
      </c>
      <c r="G50" s="1">
        <v>21</v>
      </c>
      <c r="H50" s="17" t="s">
        <v>219</v>
      </c>
      <c r="I50" s="1" t="s">
        <v>68</v>
      </c>
      <c r="J50" s="1"/>
      <c r="K50" s="1" t="s">
        <v>69</v>
      </c>
      <c r="L50" s="1" t="s">
        <v>69</v>
      </c>
      <c r="M50" s="7" t="e">
        <f t="shared" si="0"/>
        <v>#VALUE!</v>
      </c>
      <c r="N50" s="7" t="e">
        <f t="shared" si="1"/>
        <v>#VALUE!</v>
      </c>
      <c r="O50" s="1" t="s">
        <v>39</v>
      </c>
      <c r="P50" s="1">
        <v>37</v>
      </c>
      <c r="Q50" s="1" t="s">
        <v>38</v>
      </c>
      <c r="R50" s="1" t="s">
        <v>55</v>
      </c>
      <c r="S50" s="1" t="s">
        <v>38</v>
      </c>
      <c r="T50" s="1" t="s">
        <v>55</v>
      </c>
      <c r="U50" s="1" t="s">
        <v>104</v>
      </c>
      <c r="V50" s="1" t="s">
        <v>55</v>
      </c>
      <c r="W50" s="1" t="s">
        <v>38</v>
      </c>
      <c r="X50" s="1" t="s">
        <v>55</v>
      </c>
      <c r="Y50" s="1" t="s">
        <v>38</v>
      </c>
      <c r="Z50" s="1" t="s">
        <v>55</v>
      </c>
      <c r="AA50" s="1" t="s">
        <v>38</v>
      </c>
      <c r="AB50" s="1" t="s">
        <v>132</v>
      </c>
      <c r="AC50" s="1" t="s">
        <v>41</v>
      </c>
      <c r="AD50" s="1"/>
      <c r="AE50" s="1" t="s">
        <v>41</v>
      </c>
      <c r="AF50" s="1"/>
      <c r="AG50" s="1" t="s">
        <v>38</v>
      </c>
      <c r="AH50" s="1" t="s">
        <v>41</v>
      </c>
      <c r="AI50" s="1" t="s">
        <v>41</v>
      </c>
      <c r="AJ50" s="1" t="s">
        <v>41</v>
      </c>
      <c r="AK50" s="1" t="s">
        <v>41</v>
      </c>
      <c r="AL50" s="1" t="s">
        <v>41</v>
      </c>
      <c r="AM50" s="1"/>
      <c r="AN50" s="1" t="s">
        <v>41</v>
      </c>
      <c r="AO50" s="1"/>
      <c r="AP50" s="50" t="s">
        <v>220</v>
      </c>
      <c r="AQ50" s="50" t="s">
        <v>41</v>
      </c>
      <c r="AR50" s="1">
        <v>2</v>
      </c>
      <c r="AS50" s="1"/>
      <c r="AT50" s="1">
        <v>2</v>
      </c>
      <c r="AU50" s="1"/>
      <c r="AV50" s="1" t="s">
        <v>58</v>
      </c>
    </row>
    <row r="51" spans="1:48" ht="15.75" customHeight="1" x14ac:dyDescent="0.3">
      <c r="A51" s="1">
        <v>53</v>
      </c>
      <c r="B51" s="19">
        <v>44642</v>
      </c>
      <c r="C51" s="1" t="s">
        <v>221</v>
      </c>
      <c r="D51" s="1" t="s">
        <v>874</v>
      </c>
      <c r="E51" s="1" t="s">
        <v>180</v>
      </c>
      <c r="F51" s="1" t="s">
        <v>36</v>
      </c>
      <c r="G51" s="1">
        <v>29</v>
      </c>
      <c r="H51" s="1"/>
      <c r="I51" s="1" t="s">
        <v>68</v>
      </c>
      <c r="J51" s="1"/>
      <c r="K51" s="1">
        <v>54</v>
      </c>
      <c r="L51" s="1"/>
      <c r="M51" s="7">
        <f t="shared" si="0"/>
        <v>0</v>
      </c>
      <c r="N51" s="7" t="e">
        <f t="shared" si="1"/>
        <v>#DIV/0!</v>
      </c>
      <c r="O51" s="1" t="s">
        <v>39</v>
      </c>
      <c r="P51" s="1">
        <v>36</v>
      </c>
      <c r="Q51" s="1" t="s">
        <v>38</v>
      </c>
      <c r="R51" s="1" t="s">
        <v>65</v>
      </c>
      <c r="S51" s="1" t="s">
        <v>38</v>
      </c>
      <c r="T51" s="1" t="s">
        <v>65</v>
      </c>
      <c r="U51" s="1" t="s">
        <v>41</v>
      </c>
      <c r="V51" s="1"/>
      <c r="W51" s="1" t="s">
        <v>38</v>
      </c>
      <c r="X51" s="1" t="s">
        <v>65</v>
      </c>
      <c r="Y51" s="1" t="s">
        <v>41</v>
      </c>
      <c r="Z51" s="1"/>
      <c r="AA51" s="1" t="s">
        <v>38</v>
      </c>
      <c r="AB51" s="1" t="s">
        <v>65</v>
      </c>
      <c r="AC51" s="1" t="s">
        <v>38</v>
      </c>
      <c r="AD51" s="1" t="s">
        <v>43</v>
      </c>
      <c r="AE51" s="1" t="s">
        <v>222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50"/>
      <c r="AQ51" s="50"/>
      <c r="AR51" s="1"/>
      <c r="AS51" s="1"/>
      <c r="AT51" s="1"/>
      <c r="AU51" s="1"/>
      <c r="AV51" s="1"/>
    </row>
    <row r="52" spans="1:48" ht="15.75" customHeight="1" x14ac:dyDescent="0.3">
      <c r="A52" s="1">
        <v>54</v>
      </c>
      <c r="B52" s="18">
        <v>44807</v>
      </c>
      <c r="C52" s="1" t="s">
        <v>223</v>
      </c>
      <c r="D52" s="1" t="s">
        <v>223</v>
      </c>
      <c r="E52" s="1" t="s">
        <v>224</v>
      </c>
      <c r="F52" s="1" t="s">
        <v>87</v>
      </c>
      <c r="G52" s="1">
        <v>37</v>
      </c>
      <c r="H52" s="17" t="s">
        <v>225</v>
      </c>
      <c r="I52" s="1" t="s">
        <v>37</v>
      </c>
      <c r="J52" s="1" t="s">
        <v>41</v>
      </c>
      <c r="K52" s="1">
        <v>63</v>
      </c>
      <c r="L52" s="1" t="s">
        <v>69</v>
      </c>
      <c r="M52" s="7" t="e">
        <f t="shared" si="0"/>
        <v>#VALUE!</v>
      </c>
      <c r="N52" s="7" t="e">
        <f t="shared" si="1"/>
        <v>#VALUE!</v>
      </c>
      <c r="O52" s="1" t="s">
        <v>39</v>
      </c>
      <c r="P52" s="1">
        <v>37</v>
      </c>
      <c r="Q52" s="1" t="s">
        <v>38</v>
      </c>
      <c r="R52" s="1" t="s">
        <v>82</v>
      </c>
      <c r="S52" s="1" t="s">
        <v>41</v>
      </c>
      <c r="T52" s="1"/>
      <c r="U52" s="1" t="s">
        <v>41</v>
      </c>
      <c r="V52" s="1"/>
      <c r="W52" s="1" t="s">
        <v>41</v>
      </c>
      <c r="X52" s="1"/>
      <c r="Y52" s="1" t="s">
        <v>38</v>
      </c>
      <c r="Z52" s="1" t="s">
        <v>43</v>
      </c>
      <c r="AA52" s="1" t="s">
        <v>38</v>
      </c>
      <c r="AB52" s="1" t="s">
        <v>43</v>
      </c>
      <c r="AC52" s="1" t="s">
        <v>41</v>
      </c>
      <c r="AD52" s="1"/>
      <c r="AE52" s="1" t="s">
        <v>41</v>
      </c>
      <c r="AF52" s="1"/>
      <c r="AG52" s="1" t="s">
        <v>38</v>
      </c>
      <c r="AH52" s="1" t="s">
        <v>41</v>
      </c>
      <c r="AI52" s="1" t="s">
        <v>41</v>
      </c>
      <c r="AJ52" s="1" t="s">
        <v>41</v>
      </c>
      <c r="AK52" s="1" t="s">
        <v>41</v>
      </c>
      <c r="AL52" s="1" t="s">
        <v>41</v>
      </c>
      <c r="AM52" s="1"/>
      <c r="AN52" s="1" t="s">
        <v>41</v>
      </c>
      <c r="AO52" s="1"/>
      <c r="AP52" s="50" t="s">
        <v>226</v>
      </c>
      <c r="AQ52" s="50" t="s">
        <v>72</v>
      </c>
      <c r="AR52" s="1">
        <v>5</v>
      </c>
      <c r="AS52" s="1"/>
      <c r="AT52" s="1">
        <v>1</v>
      </c>
      <c r="AU52" s="1"/>
      <c r="AV52" s="1" t="s">
        <v>58</v>
      </c>
    </row>
    <row r="53" spans="1:48" ht="15.75" customHeight="1" x14ac:dyDescent="0.3">
      <c r="A53" s="1">
        <v>55</v>
      </c>
      <c r="B53" s="19">
        <v>44711</v>
      </c>
      <c r="C53" s="1" t="s">
        <v>227</v>
      </c>
      <c r="D53" s="1" t="s">
        <v>878</v>
      </c>
      <c r="E53" s="1" t="s">
        <v>224</v>
      </c>
      <c r="F53" s="1" t="s">
        <v>87</v>
      </c>
      <c r="G53" s="1">
        <v>37</v>
      </c>
      <c r="H53" s="1"/>
      <c r="I53" s="1" t="s">
        <v>37</v>
      </c>
      <c r="J53" s="1" t="s">
        <v>38</v>
      </c>
      <c r="K53" s="1">
        <v>65</v>
      </c>
      <c r="L53" s="1"/>
      <c r="M53" s="7">
        <f t="shared" si="0"/>
        <v>0</v>
      </c>
      <c r="N53" s="7" t="e">
        <f t="shared" si="1"/>
        <v>#DIV/0!</v>
      </c>
      <c r="O53" s="1" t="s">
        <v>39</v>
      </c>
      <c r="P53" s="1">
        <v>37</v>
      </c>
      <c r="Q53" s="1" t="s">
        <v>41</v>
      </c>
      <c r="R53" s="1"/>
      <c r="S53" s="1" t="s">
        <v>41</v>
      </c>
      <c r="T53" s="1"/>
      <c r="U53" s="1" t="s">
        <v>41</v>
      </c>
      <c r="V53" s="1"/>
      <c r="W53" s="1" t="s">
        <v>41</v>
      </c>
      <c r="X53" s="1"/>
      <c r="Y53" s="1" t="s">
        <v>41</v>
      </c>
      <c r="Z53" s="1"/>
      <c r="AA53" s="1" t="s">
        <v>38</v>
      </c>
      <c r="AB53" s="1" t="s">
        <v>228</v>
      </c>
      <c r="AC53" s="1" t="s">
        <v>41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50"/>
      <c r="AQ53" s="50"/>
      <c r="AR53" s="1"/>
      <c r="AS53" s="1"/>
      <c r="AT53" s="1"/>
      <c r="AU53" s="1"/>
      <c r="AV53" s="1"/>
    </row>
    <row r="54" spans="1:48" ht="15.75" customHeight="1" x14ac:dyDescent="0.3">
      <c r="A54" s="1">
        <v>56</v>
      </c>
      <c r="B54" s="18">
        <v>44807</v>
      </c>
      <c r="C54" s="1" t="s">
        <v>229</v>
      </c>
      <c r="D54" s="1" t="s">
        <v>229</v>
      </c>
      <c r="E54" s="1" t="s">
        <v>230</v>
      </c>
      <c r="F54" s="1" t="s">
        <v>36</v>
      </c>
      <c r="G54" s="1">
        <v>21</v>
      </c>
      <c r="H54" s="17" t="s">
        <v>231</v>
      </c>
      <c r="I54" s="1" t="s">
        <v>68</v>
      </c>
      <c r="J54" s="1"/>
      <c r="K54" s="1">
        <v>53</v>
      </c>
      <c r="L54" s="1"/>
      <c r="M54" s="7">
        <f t="shared" si="0"/>
        <v>0</v>
      </c>
      <c r="N54" s="7" t="e">
        <f t="shared" si="1"/>
        <v>#DIV/0!</v>
      </c>
      <c r="O54" s="1" t="s">
        <v>39</v>
      </c>
      <c r="P54" s="1">
        <v>36</v>
      </c>
      <c r="Q54" s="1" t="s">
        <v>41</v>
      </c>
      <c r="R54" s="1"/>
      <c r="S54" s="1" t="s">
        <v>41</v>
      </c>
      <c r="T54" s="1"/>
      <c r="U54" s="1" t="s">
        <v>38</v>
      </c>
      <c r="V54" s="1" t="s">
        <v>50</v>
      </c>
      <c r="W54" s="1" t="s">
        <v>38</v>
      </c>
      <c r="X54" s="1" t="s">
        <v>193</v>
      </c>
      <c r="Y54" s="1" t="s">
        <v>38</v>
      </c>
      <c r="Z54" s="1" t="s">
        <v>55</v>
      </c>
      <c r="AA54" s="1" t="s">
        <v>38</v>
      </c>
      <c r="AB54" s="1" t="s">
        <v>55</v>
      </c>
      <c r="AC54" s="1" t="s">
        <v>41</v>
      </c>
      <c r="AD54" s="1"/>
      <c r="AE54" s="1" t="s">
        <v>41</v>
      </c>
      <c r="AF54" s="1"/>
      <c r="AG54" s="1" t="s">
        <v>41</v>
      </c>
      <c r="AH54" s="1" t="s">
        <v>41</v>
      </c>
      <c r="AI54" s="1" t="s">
        <v>41</v>
      </c>
      <c r="AJ54" s="1" t="s">
        <v>41</v>
      </c>
      <c r="AK54" s="1" t="s">
        <v>41</v>
      </c>
      <c r="AL54" s="1" t="s">
        <v>41</v>
      </c>
      <c r="AM54" s="1"/>
      <c r="AN54" s="1" t="s">
        <v>41</v>
      </c>
      <c r="AO54" s="1"/>
      <c r="AP54" s="50" t="s">
        <v>115</v>
      </c>
      <c r="AQ54" s="50" t="s">
        <v>72</v>
      </c>
      <c r="AR54" s="1">
        <v>3</v>
      </c>
      <c r="AS54" s="1"/>
      <c r="AT54" s="1">
        <v>3</v>
      </c>
      <c r="AU54" s="1"/>
      <c r="AV54" s="1" t="s">
        <v>58</v>
      </c>
    </row>
    <row r="55" spans="1:48" ht="15.75" customHeight="1" x14ac:dyDescent="0.3">
      <c r="A55" s="1">
        <v>57</v>
      </c>
      <c r="B55" s="19">
        <v>44697</v>
      </c>
      <c r="C55" s="1" t="s">
        <v>232</v>
      </c>
      <c r="D55" s="1" t="s">
        <v>879</v>
      </c>
      <c r="E55" s="1" t="s">
        <v>188</v>
      </c>
      <c r="F55" s="1" t="s">
        <v>188</v>
      </c>
      <c r="G55" s="1" t="s">
        <v>188</v>
      </c>
      <c r="H55" s="17" t="s">
        <v>233</v>
      </c>
      <c r="I55" s="1" t="s">
        <v>188</v>
      </c>
      <c r="J55" s="1"/>
      <c r="K55" s="1" t="s">
        <v>69</v>
      </c>
      <c r="L55" s="1"/>
      <c r="M55" s="7">
        <f t="shared" si="0"/>
        <v>0</v>
      </c>
      <c r="N55" s="7" t="e">
        <f t="shared" si="1"/>
        <v>#VALUE!</v>
      </c>
      <c r="O55" s="1" t="s">
        <v>39</v>
      </c>
      <c r="P55" s="1">
        <v>37</v>
      </c>
      <c r="Q55" s="1" t="s">
        <v>41</v>
      </c>
      <c r="R55" s="1"/>
      <c r="S55" s="1" t="s">
        <v>40</v>
      </c>
      <c r="T55" s="1" t="s">
        <v>43</v>
      </c>
      <c r="U55" s="1" t="s">
        <v>41</v>
      </c>
      <c r="V55" s="1"/>
      <c r="W55" s="1" t="s">
        <v>196</v>
      </c>
      <c r="X55" s="1"/>
      <c r="Y55" s="1" t="s">
        <v>40</v>
      </c>
      <c r="Z55" s="1" t="s">
        <v>65</v>
      </c>
      <c r="AA55" s="1" t="s">
        <v>40</v>
      </c>
      <c r="AB55" s="1" t="s">
        <v>65</v>
      </c>
      <c r="AC55" s="1" t="s">
        <v>196</v>
      </c>
      <c r="AD55" s="1"/>
      <c r="AE55" s="1" t="s">
        <v>196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50"/>
      <c r="AQ55" s="50"/>
      <c r="AR55" s="1"/>
      <c r="AS55" s="1"/>
      <c r="AT55" s="1"/>
      <c r="AU55" s="1"/>
      <c r="AV55" s="1"/>
    </row>
    <row r="56" spans="1:48" ht="15.75" customHeight="1" x14ac:dyDescent="0.3">
      <c r="A56" s="1">
        <v>58</v>
      </c>
      <c r="B56" s="18">
        <v>44837</v>
      </c>
      <c r="C56" s="1" t="s">
        <v>234</v>
      </c>
      <c r="D56" s="1" t="s">
        <v>234</v>
      </c>
      <c r="E56" s="1" t="s">
        <v>127</v>
      </c>
      <c r="F56" s="1" t="s">
        <v>36</v>
      </c>
      <c r="G56" s="1">
        <v>30</v>
      </c>
      <c r="H56" s="17" t="s">
        <v>233</v>
      </c>
      <c r="I56" s="1" t="s">
        <v>68</v>
      </c>
      <c r="J56" s="1"/>
      <c r="K56" s="1">
        <v>55</v>
      </c>
      <c r="L56" s="1">
        <v>166</v>
      </c>
      <c r="M56" s="7">
        <f t="shared" si="0"/>
        <v>1.66</v>
      </c>
      <c r="N56" s="7">
        <f t="shared" si="1"/>
        <v>19.959355494266223</v>
      </c>
      <c r="O56" s="1" t="s">
        <v>39</v>
      </c>
      <c r="P56" s="1">
        <v>37</v>
      </c>
      <c r="Q56" s="1" t="s">
        <v>38</v>
      </c>
      <c r="R56" s="1" t="s">
        <v>43</v>
      </c>
      <c r="S56" s="1" t="s">
        <v>41</v>
      </c>
      <c r="T56" s="1"/>
      <c r="U56" s="1" t="s">
        <v>38</v>
      </c>
      <c r="V56" s="1" t="s">
        <v>195</v>
      </c>
      <c r="W56" s="1" t="s">
        <v>41</v>
      </c>
      <c r="X56" s="1"/>
      <c r="Y56" s="1" t="s">
        <v>38</v>
      </c>
      <c r="Z56" s="1" t="s">
        <v>43</v>
      </c>
      <c r="AA56" s="1" t="s">
        <v>38</v>
      </c>
      <c r="AB56" s="1" t="s">
        <v>43</v>
      </c>
      <c r="AC56" s="1" t="s">
        <v>38</v>
      </c>
      <c r="AD56" s="1"/>
      <c r="AE56" s="1" t="s">
        <v>41</v>
      </c>
      <c r="AF56" s="1"/>
      <c r="AG56" s="1" t="s">
        <v>41</v>
      </c>
      <c r="AH56" s="1" t="s">
        <v>41</v>
      </c>
      <c r="AI56" s="1" t="s">
        <v>41</v>
      </c>
      <c r="AJ56" s="1" t="s">
        <v>41</v>
      </c>
      <c r="AK56" s="1" t="s">
        <v>38</v>
      </c>
      <c r="AL56" s="1" t="s">
        <v>38</v>
      </c>
      <c r="AM56" s="1">
        <v>2021</v>
      </c>
      <c r="AN56" s="1" t="s">
        <v>38</v>
      </c>
      <c r="AO56" s="1" t="s">
        <v>41</v>
      </c>
      <c r="AP56" s="50" t="s">
        <v>235</v>
      </c>
      <c r="AQ56" s="50" t="s">
        <v>45</v>
      </c>
      <c r="AR56" s="1">
        <v>1</v>
      </c>
      <c r="AS56" s="1"/>
      <c r="AT56" s="1">
        <v>1</v>
      </c>
      <c r="AU56" s="1"/>
      <c r="AV56" s="1" t="s">
        <v>58</v>
      </c>
    </row>
    <row r="57" spans="1:48" ht="15.75" customHeight="1" x14ac:dyDescent="0.3">
      <c r="A57" s="1">
        <v>59</v>
      </c>
      <c r="B57" s="19">
        <v>44697</v>
      </c>
      <c r="C57" s="1" t="s">
        <v>236</v>
      </c>
      <c r="D57" s="1" t="s">
        <v>880</v>
      </c>
      <c r="E57" s="1" t="s">
        <v>127</v>
      </c>
      <c r="F57" s="1" t="s">
        <v>36</v>
      </c>
      <c r="G57" s="1">
        <v>30</v>
      </c>
      <c r="H57" s="1"/>
      <c r="I57" s="1" t="s">
        <v>68</v>
      </c>
      <c r="J57" s="1"/>
      <c r="K57" s="1">
        <v>55</v>
      </c>
      <c r="L57" s="1" t="s">
        <v>188</v>
      </c>
      <c r="M57" s="7" t="e">
        <f t="shared" si="0"/>
        <v>#VALUE!</v>
      </c>
      <c r="N57" s="7" t="e">
        <f t="shared" si="1"/>
        <v>#VALUE!</v>
      </c>
      <c r="O57" s="1" t="s">
        <v>39</v>
      </c>
      <c r="P57" s="1">
        <v>38</v>
      </c>
      <c r="Q57" s="1" t="s">
        <v>41</v>
      </c>
      <c r="R57" s="1"/>
      <c r="S57" s="1" t="s">
        <v>41</v>
      </c>
      <c r="T57" s="1"/>
      <c r="U57" s="1" t="s">
        <v>41</v>
      </c>
      <c r="V57" s="1"/>
      <c r="W57" s="1" t="s">
        <v>41</v>
      </c>
      <c r="X57" s="1"/>
      <c r="Y57" s="1" t="s">
        <v>41</v>
      </c>
      <c r="Z57" s="1"/>
      <c r="AA57" s="1" t="s">
        <v>41</v>
      </c>
      <c r="AB57" s="1"/>
      <c r="AC57" s="1" t="s">
        <v>41</v>
      </c>
      <c r="AD57" s="1"/>
      <c r="AE57" s="1" t="s">
        <v>41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50"/>
      <c r="AQ57" s="50"/>
      <c r="AR57" s="1"/>
      <c r="AS57" s="1"/>
      <c r="AT57" s="1"/>
      <c r="AU57" s="1"/>
      <c r="AV57" s="1"/>
    </row>
    <row r="58" spans="1:48" ht="15.75" customHeight="1" x14ac:dyDescent="0.3">
      <c r="A58" s="1">
        <v>60</v>
      </c>
      <c r="B58" s="18">
        <v>44630</v>
      </c>
      <c r="C58" s="1" t="s">
        <v>237</v>
      </c>
      <c r="D58" s="1" t="s">
        <v>237</v>
      </c>
      <c r="E58" s="1" t="s">
        <v>203</v>
      </c>
      <c r="F58" s="1" t="s">
        <v>36</v>
      </c>
      <c r="G58" s="1">
        <v>32</v>
      </c>
      <c r="H58" s="17" t="s">
        <v>238</v>
      </c>
      <c r="I58" s="1" t="s">
        <v>37</v>
      </c>
      <c r="J58" s="1" t="s">
        <v>38</v>
      </c>
      <c r="K58" s="1">
        <v>54</v>
      </c>
      <c r="L58" s="1" t="s">
        <v>69</v>
      </c>
      <c r="M58" s="7" t="e">
        <f t="shared" si="0"/>
        <v>#VALUE!</v>
      </c>
      <c r="N58" s="7" t="e">
        <f t="shared" si="1"/>
        <v>#VALUE!</v>
      </c>
      <c r="O58" s="1" t="s">
        <v>39</v>
      </c>
      <c r="P58" s="1">
        <v>36.4</v>
      </c>
      <c r="Q58" s="1" t="s">
        <v>38</v>
      </c>
      <c r="R58" s="1" t="s">
        <v>193</v>
      </c>
      <c r="S58" s="1" t="s">
        <v>38</v>
      </c>
      <c r="T58" s="1" t="s">
        <v>65</v>
      </c>
      <c r="U58" s="1" t="s">
        <v>38</v>
      </c>
      <c r="V58" s="1" t="s">
        <v>65</v>
      </c>
      <c r="W58" s="1" t="s">
        <v>38</v>
      </c>
      <c r="X58" s="1" t="s">
        <v>193</v>
      </c>
      <c r="Y58" s="1" t="s">
        <v>38</v>
      </c>
      <c r="Z58" s="1" t="s">
        <v>146</v>
      </c>
      <c r="AA58" s="1" t="s">
        <v>41</v>
      </c>
      <c r="AB58" s="1"/>
      <c r="AC58" s="1" t="s">
        <v>41</v>
      </c>
      <c r="AD58" s="1"/>
      <c r="AE58" s="1" t="s">
        <v>41</v>
      </c>
      <c r="AF58" s="1"/>
      <c r="AG58" s="1" t="s">
        <v>38</v>
      </c>
      <c r="AH58" s="1" t="s">
        <v>41</v>
      </c>
      <c r="AI58" s="1" t="s">
        <v>41</v>
      </c>
      <c r="AJ58" s="1" t="s">
        <v>38</v>
      </c>
      <c r="AK58" s="1" t="s">
        <v>38</v>
      </c>
      <c r="AL58" s="1" t="s">
        <v>38</v>
      </c>
      <c r="AM58" s="1" t="s">
        <v>69</v>
      </c>
      <c r="AN58" s="1" t="s">
        <v>239</v>
      </c>
      <c r="AO58" s="1" t="s">
        <v>38</v>
      </c>
      <c r="AP58" s="50" t="s">
        <v>240</v>
      </c>
      <c r="AQ58" s="50" t="s">
        <v>57</v>
      </c>
      <c r="AR58" s="1">
        <v>3</v>
      </c>
      <c r="AS58" s="1"/>
      <c r="AT58" s="1">
        <v>1</v>
      </c>
      <c r="AU58" s="1"/>
      <c r="AV58" s="1" t="s">
        <v>58</v>
      </c>
    </row>
    <row r="59" spans="1:48" ht="15.75" customHeight="1" x14ac:dyDescent="0.3">
      <c r="A59" s="1">
        <v>61</v>
      </c>
      <c r="B59" s="18">
        <v>44631</v>
      </c>
      <c r="C59" s="1" t="s">
        <v>241</v>
      </c>
      <c r="D59" s="1" t="s">
        <v>241</v>
      </c>
      <c r="E59" s="1" t="s">
        <v>242</v>
      </c>
      <c r="F59" s="1" t="s">
        <v>36</v>
      </c>
      <c r="G59" s="1">
        <v>39</v>
      </c>
      <c r="H59" s="17" t="s">
        <v>243</v>
      </c>
      <c r="I59" s="1" t="s">
        <v>68</v>
      </c>
      <c r="J59" s="1"/>
      <c r="K59" s="1" t="s">
        <v>69</v>
      </c>
      <c r="L59" s="1" t="s">
        <v>69</v>
      </c>
      <c r="M59" s="7" t="e">
        <f t="shared" si="0"/>
        <v>#VALUE!</v>
      </c>
      <c r="N59" s="7" t="e">
        <f t="shared" si="1"/>
        <v>#VALUE!</v>
      </c>
      <c r="O59" s="1" t="s">
        <v>39</v>
      </c>
      <c r="P59" s="1">
        <v>37</v>
      </c>
      <c r="Q59" s="1" t="s">
        <v>38</v>
      </c>
      <c r="R59" s="1" t="s">
        <v>244</v>
      </c>
      <c r="S59" s="1" t="s">
        <v>38</v>
      </c>
      <c r="T59" s="1" t="s">
        <v>150</v>
      </c>
      <c r="U59" s="1" t="s">
        <v>38</v>
      </c>
      <c r="V59" s="1" t="s">
        <v>103</v>
      </c>
      <c r="W59" s="1" t="s">
        <v>38</v>
      </c>
      <c r="X59" s="1" t="s">
        <v>245</v>
      </c>
      <c r="Y59" s="1" t="s">
        <v>69</v>
      </c>
      <c r="Z59" s="1"/>
      <c r="AA59" s="1" t="s">
        <v>38</v>
      </c>
      <c r="AB59" s="1" t="s">
        <v>246</v>
      </c>
      <c r="AC59" s="1" t="s">
        <v>41</v>
      </c>
      <c r="AD59" s="1"/>
      <c r="AE59" s="1" t="s">
        <v>247</v>
      </c>
      <c r="AF59" s="1" t="s">
        <v>248</v>
      </c>
      <c r="AG59" s="1" t="s">
        <v>41</v>
      </c>
      <c r="AH59" s="1" t="s">
        <v>41</v>
      </c>
      <c r="AI59" s="1" t="s">
        <v>38</v>
      </c>
      <c r="AJ59" s="1" t="s">
        <v>38</v>
      </c>
      <c r="AK59" s="1" t="s">
        <v>38</v>
      </c>
      <c r="AL59" s="1" t="s">
        <v>249</v>
      </c>
      <c r="AM59" s="1" t="s">
        <v>250</v>
      </c>
      <c r="AN59" s="1" t="s">
        <v>239</v>
      </c>
      <c r="AO59" s="1" t="s">
        <v>38</v>
      </c>
      <c r="AP59" s="50" t="s">
        <v>251</v>
      </c>
      <c r="AQ59" s="50" t="s">
        <v>57</v>
      </c>
      <c r="AR59" s="1">
        <v>1</v>
      </c>
      <c r="AS59" s="1"/>
      <c r="AT59" s="1">
        <v>1</v>
      </c>
      <c r="AU59" s="1"/>
      <c r="AV59" s="1" t="s">
        <v>58</v>
      </c>
    </row>
    <row r="60" spans="1:48" ht="15.75" customHeight="1" x14ac:dyDescent="0.3">
      <c r="A60" s="1">
        <v>62</v>
      </c>
      <c r="B60" s="19">
        <v>44697</v>
      </c>
      <c r="C60" s="1" t="s">
        <v>252</v>
      </c>
      <c r="D60" s="1" t="s">
        <v>881</v>
      </c>
      <c r="E60" s="1" t="s">
        <v>188</v>
      </c>
      <c r="F60" s="1" t="s">
        <v>188</v>
      </c>
      <c r="G60" s="1" t="s">
        <v>188</v>
      </c>
      <c r="H60" s="17" t="s">
        <v>253</v>
      </c>
      <c r="I60" s="1" t="s">
        <v>68</v>
      </c>
      <c r="J60" s="1"/>
      <c r="K60" s="1" t="s">
        <v>69</v>
      </c>
      <c r="L60" s="1" t="s">
        <v>69</v>
      </c>
      <c r="M60" s="7" t="e">
        <f t="shared" si="0"/>
        <v>#VALUE!</v>
      </c>
      <c r="N60" s="7" t="e">
        <f t="shared" si="1"/>
        <v>#VALUE!</v>
      </c>
      <c r="O60" s="1" t="s">
        <v>39</v>
      </c>
      <c r="P60" s="1" t="s">
        <v>69</v>
      </c>
      <c r="Q60" s="1" t="s">
        <v>38</v>
      </c>
      <c r="R60" s="1" t="s">
        <v>53</v>
      </c>
      <c r="S60" s="1" t="s">
        <v>41</v>
      </c>
      <c r="T60" s="1"/>
      <c r="U60" s="1" t="s">
        <v>41</v>
      </c>
      <c r="V60" s="1"/>
      <c r="W60" s="1" t="s">
        <v>38</v>
      </c>
      <c r="X60" s="1" t="s">
        <v>193</v>
      </c>
      <c r="Y60" s="1" t="s">
        <v>41</v>
      </c>
      <c r="Z60" s="1"/>
      <c r="AA60" s="1" t="s">
        <v>38</v>
      </c>
      <c r="AB60" s="1" t="s">
        <v>43</v>
      </c>
      <c r="AC60" s="1" t="s">
        <v>41</v>
      </c>
      <c r="AD60" s="1"/>
      <c r="AE60" s="1" t="s">
        <v>41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50"/>
      <c r="AQ60" s="50"/>
      <c r="AR60" s="1"/>
      <c r="AS60" s="1"/>
      <c r="AT60" s="1"/>
      <c r="AU60" s="1"/>
      <c r="AV60" s="1"/>
    </row>
    <row r="61" spans="1:48" ht="15.75" customHeight="1" x14ac:dyDescent="0.3">
      <c r="A61" s="1">
        <v>63</v>
      </c>
      <c r="B61" s="19">
        <v>44634</v>
      </c>
      <c r="C61" s="1" t="s">
        <v>254</v>
      </c>
      <c r="D61" s="1" t="s">
        <v>254</v>
      </c>
      <c r="E61" s="1" t="s">
        <v>255</v>
      </c>
      <c r="F61" s="1" t="s">
        <v>36</v>
      </c>
      <c r="G61" s="1">
        <v>54</v>
      </c>
      <c r="H61" s="1"/>
      <c r="I61" s="1" t="s">
        <v>68</v>
      </c>
      <c r="J61" s="1"/>
      <c r="K61" s="1">
        <v>48</v>
      </c>
      <c r="L61" s="1">
        <v>166</v>
      </c>
      <c r="M61" s="7">
        <f t="shared" si="0"/>
        <v>1.66</v>
      </c>
      <c r="N61" s="7">
        <f t="shared" si="1"/>
        <v>17.419073885905068</v>
      </c>
      <c r="O61" s="1" t="s">
        <v>39</v>
      </c>
      <c r="P61" s="1" t="s">
        <v>69</v>
      </c>
      <c r="Q61" s="1" t="s">
        <v>38</v>
      </c>
      <c r="R61" s="1" t="s">
        <v>50</v>
      </c>
      <c r="S61" s="1" t="s">
        <v>41</v>
      </c>
      <c r="T61" s="1"/>
      <c r="U61" s="1" t="s">
        <v>38</v>
      </c>
      <c r="V61" s="1" t="s">
        <v>256</v>
      </c>
      <c r="W61" s="1" t="s">
        <v>38</v>
      </c>
      <c r="X61" s="1" t="s">
        <v>257</v>
      </c>
      <c r="Y61" s="1" t="s">
        <v>41</v>
      </c>
      <c r="Z61" s="1"/>
      <c r="AA61" s="1" t="s">
        <v>41</v>
      </c>
      <c r="AB61" s="1"/>
      <c r="AC61" s="1" t="s">
        <v>38</v>
      </c>
      <c r="AD61" s="1" t="s">
        <v>258</v>
      </c>
      <c r="AE61" s="1" t="s">
        <v>41</v>
      </c>
      <c r="AF61" s="1"/>
      <c r="AG61" s="1" t="s">
        <v>38</v>
      </c>
      <c r="AH61" s="1" t="s">
        <v>41</v>
      </c>
      <c r="AI61" s="1" t="s">
        <v>41</v>
      </c>
      <c r="AJ61" s="1" t="s">
        <v>41</v>
      </c>
      <c r="AK61" s="1" t="s">
        <v>38</v>
      </c>
      <c r="AL61" s="1" t="s">
        <v>38</v>
      </c>
      <c r="AM61" s="1" t="s">
        <v>69</v>
      </c>
      <c r="AN61" s="1" t="s">
        <v>259</v>
      </c>
      <c r="AO61" s="1" t="s">
        <v>41</v>
      </c>
      <c r="AP61" s="50"/>
      <c r="AQ61" s="50" t="s">
        <v>57</v>
      </c>
      <c r="AR61" s="1">
        <v>9</v>
      </c>
      <c r="AS61" s="1"/>
      <c r="AT61" s="1">
        <v>6</v>
      </c>
      <c r="AU61" s="1"/>
      <c r="AV61" s="1" t="s">
        <v>46</v>
      </c>
    </row>
    <row r="62" spans="1:48" ht="15.75" customHeight="1" x14ac:dyDescent="0.3">
      <c r="A62" s="1">
        <v>64</v>
      </c>
      <c r="B62" s="19">
        <v>44634</v>
      </c>
      <c r="C62" s="1" t="s">
        <v>260</v>
      </c>
      <c r="D62" s="1" t="s">
        <v>260</v>
      </c>
      <c r="E62" s="1" t="s">
        <v>261</v>
      </c>
      <c r="F62" s="1" t="s">
        <v>36</v>
      </c>
      <c r="G62" s="1">
        <v>34</v>
      </c>
      <c r="H62" s="17" t="s">
        <v>262</v>
      </c>
      <c r="I62" s="1" t="s">
        <v>37</v>
      </c>
      <c r="J62" s="1" t="s">
        <v>38</v>
      </c>
      <c r="K62" s="1">
        <v>67</v>
      </c>
      <c r="L62" s="1">
        <v>166</v>
      </c>
      <c r="M62" s="7">
        <f t="shared" si="0"/>
        <v>1.66</v>
      </c>
      <c r="N62" s="7">
        <f t="shared" si="1"/>
        <v>24.314123965742489</v>
      </c>
      <c r="O62" s="1" t="s">
        <v>39</v>
      </c>
      <c r="P62" s="1" t="s">
        <v>69</v>
      </c>
      <c r="Q62" s="1" t="s">
        <v>38</v>
      </c>
      <c r="R62" s="1" t="s">
        <v>263</v>
      </c>
      <c r="S62" s="1" t="s">
        <v>38</v>
      </c>
      <c r="T62" s="1" t="s">
        <v>53</v>
      </c>
      <c r="U62" s="1" t="s">
        <v>38</v>
      </c>
      <c r="V62" s="1" t="s">
        <v>53</v>
      </c>
      <c r="W62" s="1" t="s">
        <v>38</v>
      </c>
      <c r="X62" s="1" t="s">
        <v>53</v>
      </c>
      <c r="Y62" s="1" t="s">
        <v>41</v>
      </c>
      <c r="Z62" s="1"/>
      <c r="AA62" s="1" t="s">
        <v>41</v>
      </c>
      <c r="AB62" s="1"/>
      <c r="AC62" s="1" t="s">
        <v>41</v>
      </c>
      <c r="AD62" s="1"/>
      <c r="AE62" s="1" t="s">
        <v>41</v>
      </c>
      <c r="AF62" s="1"/>
      <c r="AG62" s="1" t="s">
        <v>41</v>
      </c>
      <c r="AH62" s="1" t="s">
        <v>41</v>
      </c>
      <c r="AI62" s="1" t="s">
        <v>41</v>
      </c>
      <c r="AJ62" s="1" t="s">
        <v>41</v>
      </c>
      <c r="AK62" s="1" t="s">
        <v>41</v>
      </c>
      <c r="AL62" s="1" t="s">
        <v>41</v>
      </c>
      <c r="AM62" s="1"/>
      <c r="AN62" s="1"/>
      <c r="AO62" s="1" t="s">
        <v>41</v>
      </c>
      <c r="AP62" s="50" t="s">
        <v>264</v>
      </c>
      <c r="AQ62" s="50" t="s">
        <v>61</v>
      </c>
      <c r="AR62" s="1">
        <v>1</v>
      </c>
      <c r="AS62" s="1"/>
      <c r="AT62" s="1">
        <v>1</v>
      </c>
      <c r="AU62" s="1"/>
      <c r="AV62" s="1" t="s">
        <v>58</v>
      </c>
    </row>
    <row r="63" spans="1:48" ht="15.75" customHeight="1" x14ac:dyDescent="0.3">
      <c r="A63" s="1">
        <v>65</v>
      </c>
      <c r="B63" s="19">
        <v>44634</v>
      </c>
      <c r="C63" s="1" t="s">
        <v>265</v>
      </c>
      <c r="D63" s="1" t="s">
        <v>265</v>
      </c>
      <c r="E63" s="1" t="s">
        <v>266</v>
      </c>
      <c r="F63" s="1" t="s">
        <v>36</v>
      </c>
      <c r="G63" s="1">
        <v>27</v>
      </c>
      <c r="H63" s="17" t="s">
        <v>267</v>
      </c>
      <c r="I63" s="1" t="s">
        <v>68</v>
      </c>
      <c r="J63" s="1"/>
      <c r="K63" s="1">
        <v>64</v>
      </c>
      <c r="L63" s="1">
        <v>168</v>
      </c>
      <c r="M63" s="7">
        <f t="shared" si="0"/>
        <v>1.68</v>
      </c>
      <c r="N63" s="7">
        <f t="shared" si="1"/>
        <v>22.67573696145125</v>
      </c>
      <c r="O63" s="1" t="s">
        <v>39</v>
      </c>
      <c r="P63" s="1">
        <v>37</v>
      </c>
      <c r="Q63" s="1" t="s">
        <v>38</v>
      </c>
      <c r="R63" s="1" t="s">
        <v>55</v>
      </c>
      <c r="S63" s="1" t="s">
        <v>38</v>
      </c>
      <c r="T63" s="1" t="s">
        <v>157</v>
      </c>
      <c r="U63" s="1" t="s">
        <v>38</v>
      </c>
      <c r="V63" s="1" t="s">
        <v>157</v>
      </c>
      <c r="W63" s="1" t="s">
        <v>41</v>
      </c>
      <c r="X63" s="1"/>
      <c r="Y63" s="1" t="s">
        <v>38</v>
      </c>
      <c r="Z63" s="1" t="s">
        <v>157</v>
      </c>
      <c r="AA63" s="1" t="s">
        <v>38</v>
      </c>
      <c r="AB63" s="1" t="s">
        <v>132</v>
      </c>
      <c r="AC63" s="1" t="s">
        <v>41</v>
      </c>
      <c r="AD63" s="1"/>
      <c r="AE63" s="1" t="s">
        <v>41</v>
      </c>
      <c r="AF63" s="1"/>
      <c r="AG63" s="1" t="s">
        <v>41</v>
      </c>
      <c r="AH63" s="1" t="s">
        <v>41</v>
      </c>
      <c r="AI63" s="1" t="s">
        <v>41</v>
      </c>
      <c r="AJ63" s="1" t="s">
        <v>38</v>
      </c>
      <c r="AK63" s="1" t="s">
        <v>38</v>
      </c>
      <c r="AL63" s="1" t="s">
        <v>41</v>
      </c>
      <c r="AM63" s="1"/>
      <c r="AN63" s="1"/>
      <c r="AO63" s="1" t="s">
        <v>41</v>
      </c>
      <c r="AP63" s="50" t="s">
        <v>268</v>
      </c>
      <c r="AQ63" s="50" t="s">
        <v>172</v>
      </c>
      <c r="AR63" s="1">
        <v>1</v>
      </c>
      <c r="AS63" s="1"/>
      <c r="AT63" s="1">
        <v>1</v>
      </c>
      <c r="AU63" s="1"/>
      <c r="AV63" s="1" t="s">
        <v>58</v>
      </c>
    </row>
    <row r="64" spans="1:48" ht="15.75" customHeight="1" x14ac:dyDescent="0.3">
      <c r="A64" s="1">
        <v>66</v>
      </c>
      <c r="B64" s="19">
        <v>44635</v>
      </c>
      <c r="C64" s="1" t="s">
        <v>269</v>
      </c>
      <c r="D64" s="1" t="s">
        <v>269</v>
      </c>
      <c r="E64" s="1" t="s">
        <v>139</v>
      </c>
      <c r="F64" s="1" t="s">
        <v>36</v>
      </c>
      <c r="G64" s="1">
        <v>27</v>
      </c>
      <c r="H64" s="17" t="s">
        <v>270</v>
      </c>
      <c r="I64" s="1" t="s">
        <v>68</v>
      </c>
      <c r="J64" s="1"/>
      <c r="K64" s="1">
        <v>76</v>
      </c>
      <c r="L64" s="1">
        <v>138</v>
      </c>
      <c r="M64" s="7">
        <f t="shared" si="0"/>
        <v>1.38</v>
      </c>
      <c r="N64" s="7">
        <f t="shared" si="1"/>
        <v>39.907582440663731</v>
      </c>
      <c r="O64" s="1" t="s">
        <v>39</v>
      </c>
      <c r="P64" s="1">
        <v>36</v>
      </c>
      <c r="Q64" s="1" t="s">
        <v>41</v>
      </c>
      <c r="R64" s="1"/>
      <c r="S64" s="1" t="s">
        <v>41</v>
      </c>
      <c r="T64" s="1"/>
      <c r="U64" s="1" t="s">
        <v>38</v>
      </c>
      <c r="V64" s="1" t="s">
        <v>165</v>
      </c>
      <c r="W64" s="1" t="s">
        <v>41</v>
      </c>
      <c r="X64" s="1"/>
      <c r="Y64" s="1" t="s">
        <v>38</v>
      </c>
      <c r="Z64" s="1" t="s">
        <v>165</v>
      </c>
      <c r="AA64" s="1" t="s">
        <v>38</v>
      </c>
      <c r="AB64" s="1" t="s">
        <v>165</v>
      </c>
      <c r="AC64" s="1" t="s">
        <v>41</v>
      </c>
      <c r="AD64" s="1"/>
      <c r="AE64" s="1" t="s">
        <v>41</v>
      </c>
      <c r="AF64" s="1"/>
      <c r="AG64" s="1" t="s">
        <v>38</v>
      </c>
      <c r="AH64" s="1" t="s">
        <v>41</v>
      </c>
      <c r="AI64" s="1" t="s">
        <v>41</v>
      </c>
      <c r="AJ64" s="1" t="s">
        <v>38</v>
      </c>
      <c r="AK64" s="1" t="s">
        <v>38</v>
      </c>
      <c r="AL64" s="1" t="s">
        <v>41</v>
      </c>
      <c r="AM64" s="1"/>
      <c r="AN64" s="1"/>
      <c r="AO64" s="1" t="s">
        <v>41</v>
      </c>
      <c r="AP64" s="50" t="s">
        <v>226</v>
      </c>
      <c r="AQ64" s="50" t="s">
        <v>61</v>
      </c>
      <c r="AR64" s="1">
        <v>1</v>
      </c>
      <c r="AS64" s="1"/>
      <c r="AT64" s="1">
        <v>2</v>
      </c>
      <c r="AU64" s="1"/>
      <c r="AV64" s="1" t="s">
        <v>58</v>
      </c>
    </row>
    <row r="65" spans="1:48" ht="15.75" customHeight="1" x14ac:dyDescent="0.3">
      <c r="A65" s="1">
        <v>67</v>
      </c>
      <c r="B65" s="19">
        <v>44635</v>
      </c>
      <c r="C65" s="1" t="s">
        <v>271</v>
      </c>
      <c r="D65" s="1" t="s">
        <v>271</v>
      </c>
      <c r="E65" s="1" t="s">
        <v>91</v>
      </c>
      <c r="F65" s="1" t="s">
        <v>36</v>
      </c>
      <c r="G65" s="1">
        <v>37</v>
      </c>
      <c r="H65" s="17" t="s">
        <v>272</v>
      </c>
      <c r="I65" s="1" t="s">
        <v>68</v>
      </c>
      <c r="J65" s="1"/>
      <c r="K65" s="1">
        <v>62</v>
      </c>
      <c r="L65" s="1">
        <v>172</v>
      </c>
      <c r="M65" s="7">
        <f t="shared" si="0"/>
        <v>1.72</v>
      </c>
      <c r="N65" s="7">
        <f t="shared" si="1"/>
        <v>20.957274202271499</v>
      </c>
      <c r="O65" s="1" t="s">
        <v>39</v>
      </c>
      <c r="P65" s="1">
        <v>37</v>
      </c>
      <c r="Q65" s="1" t="s">
        <v>38</v>
      </c>
      <c r="R65" s="1" t="s">
        <v>43</v>
      </c>
      <c r="S65" s="1" t="s">
        <v>41</v>
      </c>
      <c r="T65" s="1"/>
      <c r="U65" s="1" t="s">
        <v>38</v>
      </c>
      <c r="V65" s="1" t="s">
        <v>195</v>
      </c>
      <c r="W65" s="1" t="s">
        <v>38</v>
      </c>
      <c r="X65" s="1" t="s">
        <v>43</v>
      </c>
      <c r="Y65" s="1" t="s">
        <v>41</v>
      </c>
      <c r="Z65" s="1"/>
      <c r="AA65" s="1" t="s">
        <v>41</v>
      </c>
      <c r="AB65" s="1"/>
      <c r="AC65" s="1" t="s">
        <v>41</v>
      </c>
      <c r="AD65" s="1"/>
      <c r="AE65" s="1" t="s">
        <v>41</v>
      </c>
      <c r="AF65" s="1"/>
      <c r="AG65" s="1" t="s">
        <v>41</v>
      </c>
      <c r="AH65" s="1" t="s">
        <v>41</v>
      </c>
      <c r="AI65" s="1" t="s">
        <v>41</v>
      </c>
      <c r="AJ65" s="1" t="s">
        <v>38</v>
      </c>
      <c r="AK65" s="1" t="s">
        <v>41</v>
      </c>
      <c r="AL65" s="1" t="s">
        <v>38</v>
      </c>
      <c r="AM65" s="1">
        <v>2015</v>
      </c>
      <c r="AN65" s="1" t="s">
        <v>259</v>
      </c>
      <c r="AO65" s="1" t="s">
        <v>41</v>
      </c>
      <c r="AP65" s="50" t="s">
        <v>214</v>
      </c>
      <c r="AQ65" s="50" t="s">
        <v>57</v>
      </c>
      <c r="AR65" s="1">
        <v>5</v>
      </c>
      <c r="AS65" s="1"/>
      <c r="AT65" s="1">
        <v>1</v>
      </c>
      <c r="AU65" s="1"/>
      <c r="AV65" s="1" t="s">
        <v>58</v>
      </c>
    </row>
    <row r="66" spans="1:48" ht="15.75" customHeight="1" x14ac:dyDescent="0.3">
      <c r="A66" s="1">
        <v>68</v>
      </c>
      <c r="B66" s="19">
        <v>44637</v>
      </c>
      <c r="C66" s="1" t="s">
        <v>273</v>
      </c>
      <c r="D66" s="1" t="s">
        <v>273</v>
      </c>
      <c r="E66" s="1" t="s">
        <v>177</v>
      </c>
      <c r="F66" s="1" t="s">
        <v>36</v>
      </c>
      <c r="G66" s="1">
        <v>22</v>
      </c>
      <c r="H66" s="17" t="s">
        <v>274</v>
      </c>
      <c r="I66" s="1" t="s">
        <v>68</v>
      </c>
      <c r="J66" s="1"/>
      <c r="K66" s="1">
        <v>45</v>
      </c>
      <c r="L66" s="1" t="s">
        <v>69</v>
      </c>
      <c r="M66" s="7" t="e">
        <f t="shared" si="0"/>
        <v>#VALUE!</v>
      </c>
      <c r="N66" s="7" t="e">
        <f t="shared" si="1"/>
        <v>#VALUE!</v>
      </c>
      <c r="O66" s="1" t="s">
        <v>39</v>
      </c>
      <c r="P66" s="1" t="s">
        <v>69</v>
      </c>
      <c r="Q66" s="1" t="s">
        <v>38</v>
      </c>
      <c r="R66" s="1" t="s">
        <v>64</v>
      </c>
      <c r="S66" s="1" t="s">
        <v>38</v>
      </c>
      <c r="T66" s="1" t="s">
        <v>53</v>
      </c>
      <c r="U66" s="1" t="s">
        <v>38</v>
      </c>
      <c r="V66" s="1" t="s">
        <v>51</v>
      </c>
      <c r="W66" s="1" t="s">
        <v>41</v>
      </c>
      <c r="X66" s="1"/>
      <c r="Y66" s="1" t="s">
        <v>41</v>
      </c>
      <c r="Z66" s="1"/>
      <c r="AA66" s="1" t="s">
        <v>41</v>
      </c>
      <c r="AB66" s="1"/>
      <c r="AC66" s="1" t="s">
        <v>41</v>
      </c>
      <c r="AD66" s="1"/>
      <c r="AE66" s="1" t="s">
        <v>41</v>
      </c>
      <c r="AF66" s="1"/>
      <c r="AG66" s="1" t="s">
        <v>41</v>
      </c>
      <c r="AH66" s="1" t="s">
        <v>41</v>
      </c>
      <c r="AI66" s="1" t="s">
        <v>41</v>
      </c>
      <c r="AJ66" s="1" t="s">
        <v>41</v>
      </c>
      <c r="AK66" s="1" t="s">
        <v>38</v>
      </c>
      <c r="AL66" s="1" t="s">
        <v>41</v>
      </c>
      <c r="AM66" s="1"/>
      <c r="AN66" s="1"/>
      <c r="AO66" s="1" t="s">
        <v>41</v>
      </c>
      <c r="AP66" s="50" t="s">
        <v>275</v>
      </c>
      <c r="AQ66" s="50" t="s">
        <v>72</v>
      </c>
      <c r="AR66" s="1">
        <v>8</v>
      </c>
      <c r="AS66" s="1"/>
      <c r="AT66" s="1">
        <v>3</v>
      </c>
      <c r="AU66" s="1"/>
      <c r="AV66" s="1" t="s">
        <v>46</v>
      </c>
    </row>
    <row r="67" spans="1:48" ht="15.75" customHeight="1" x14ac:dyDescent="0.3">
      <c r="A67" s="1">
        <v>69</v>
      </c>
      <c r="B67" s="19">
        <v>44636</v>
      </c>
      <c r="C67" s="1" t="s">
        <v>276</v>
      </c>
      <c r="D67" s="1" t="s">
        <v>875</v>
      </c>
      <c r="E67" s="1" t="s">
        <v>188</v>
      </c>
      <c r="F67" s="1" t="s">
        <v>188</v>
      </c>
      <c r="G67" s="1" t="s">
        <v>188</v>
      </c>
      <c r="H67" s="17" t="s">
        <v>274</v>
      </c>
      <c r="I67" s="1" t="s">
        <v>188</v>
      </c>
      <c r="J67" s="1"/>
      <c r="K67" s="1"/>
      <c r="L67" s="1"/>
      <c r="M67" s="7">
        <f t="shared" ref="M67:M121" si="2">L67/100</f>
        <v>0</v>
      </c>
      <c r="N67" s="7" t="e">
        <f t="shared" ref="N67:N130" si="3">K67/(M67*M67)</f>
        <v>#DIV/0!</v>
      </c>
      <c r="O67" s="1" t="s">
        <v>39</v>
      </c>
      <c r="P67" s="1">
        <v>36.200000000000003</v>
      </c>
      <c r="Q67" s="1" t="s">
        <v>41</v>
      </c>
      <c r="R67" s="1"/>
      <c r="S67" s="1" t="s">
        <v>41</v>
      </c>
      <c r="T67" s="1"/>
      <c r="U67" s="1" t="s">
        <v>41</v>
      </c>
      <c r="V67" s="1"/>
      <c r="W67" s="1" t="s">
        <v>41</v>
      </c>
      <c r="X67" s="1"/>
      <c r="Y67" s="1" t="s">
        <v>41</v>
      </c>
      <c r="Z67" s="1"/>
      <c r="AA67" s="1" t="s">
        <v>41</v>
      </c>
      <c r="AB67" s="1"/>
      <c r="AC67" s="1" t="s">
        <v>41</v>
      </c>
      <c r="AD67" s="1"/>
      <c r="AE67" s="1" t="s">
        <v>41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50"/>
      <c r="AQ67" s="50"/>
      <c r="AR67" s="1"/>
      <c r="AS67" s="1"/>
      <c r="AT67" s="1"/>
      <c r="AU67" s="1"/>
      <c r="AV67" s="1"/>
    </row>
    <row r="68" spans="1:48" ht="15.75" customHeight="1" x14ac:dyDescent="0.3">
      <c r="A68" s="1">
        <v>70</v>
      </c>
      <c r="B68" s="19">
        <v>44637</v>
      </c>
      <c r="C68" s="1" t="s">
        <v>277</v>
      </c>
      <c r="D68" s="1" t="s">
        <v>277</v>
      </c>
      <c r="E68" s="1" t="s">
        <v>278</v>
      </c>
      <c r="F68" s="1" t="s">
        <v>36</v>
      </c>
      <c r="G68" s="1">
        <v>24</v>
      </c>
      <c r="H68" s="17" t="s">
        <v>279</v>
      </c>
      <c r="I68" s="1" t="s">
        <v>68</v>
      </c>
      <c r="J68" s="1"/>
      <c r="K68" s="1" t="s">
        <v>69</v>
      </c>
      <c r="L68" s="1" t="s">
        <v>69</v>
      </c>
      <c r="M68" s="7" t="e">
        <f t="shared" si="2"/>
        <v>#VALUE!</v>
      </c>
      <c r="N68" s="7" t="e">
        <f t="shared" si="3"/>
        <v>#VALUE!</v>
      </c>
      <c r="O68" s="1" t="s">
        <v>39</v>
      </c>
      <c r="P68" s="1" t="s">
        <v>69</v>
      </c>
      <c r="Q68" s="1" t="s">
        <v>38</v>
      </c>
      <c r="R68" s="1" t="s">
        <v>110</v>
      </c>
      <c r="S68" s="1" t="s">
        <v>38</v>
      </c>
      <c r="T68" s="1" t="s">
        <v>43</v>
      </c>
      <c r="U68" s="1" t="s">
        <v>38</v>
      </c>
      <c r="V68" s="1" t="s">
        <v>52</v>
      </c>
      <c r="W68" s="1" t="s">
        <v>38</v>
      </c>
      <c r="X68" s="1" t="s">
        <v>165</v>
      </c>
      <c r="Y68" s="1" t="s">
        <v>41</v>
      </c>
      <c r="Z68" s="1"/>
      <c r="AA68" s="1" t="s">
        <v>41</v>
      </c>
      <c r="AB68" s="1"/>
      <c r="AC68" s="1" t="s">
        <v>41</v>
      </c>
      <c r="AD68" s="1"/>
      <c r="AE68" s="1" t="s">
        <v>41</v>
      </c>
      <c r="AF68" s="1"/>
      <c r="AG68" s="1" t="s">
        <v>41</v>
      </c>
      <c r="AH68" s="1" t="s">
        <v>41</v>
      </c>
      <c r="AI68" s="1" t="s">
        <v>41</v>
      </c>
      <c r="AJ68" s="1" t="s">
        <v>41</v>
      </c>
      <c r="AK68" s="1" t="s">
        <v>41</v>
      </c>
      <c r="AL68" s="1" t="s">
        <v>38</v>
      </c>
      <c r="AM68" s="1" t="s">
        <v>280</v>
      </c>
      <c r="AN68" s="1" t="s">
        <v>259</v>
      </c>
      <c r="AO68" s="1" t="s">
        <v>38</v>
      </c>
      <c r="AP68" s="50" t="s">
        <v>69</v>
      </c>
      <c r="AQ68" s="50" t="s">
        <v>45</v>
      </c>
      <c r="AR68" s="1">
        <v>2</v>
      </c>
      <c r="AS68" s="1"/>
      <c r="AT68" s="1">
        <v>1</v>
      </c>
      <c r="AU68" s="1"/>
      <c r="AV68" s="1" t="s">
        <v>46</v>
      </c>
    </row>
    <row r="69" spans="1:48" ht="15.75" customHeight="1" x14ac:dyDescent="0.3">
      <c r="A69" s="1">
        <v>71</v>
      </c>
      <c r="B69" s="19">
        <v>44700</v>
      </c>
      <c r="C69" s="1" t="s">
        <v>281</v>
      </c>
      <c r="D69" s="1" t="s">
        <v>876</v>
      </c>
      <c r="E69" s="1" t="s">
        <v>278</v>
      </c>
      <c r="F69" s="1" t="s">
        <v>188</v>
      </c>
      <c r="G69" s="1" t="s">
        <v>188</v>
      </c>
      <c r="H69" s="17" t="s">
        <v>279</v>
      </c>
      <c r="I69" s="1" t="s">
        <v>188</v>
      </c>
      <c r="J69" s="1"/>
      <c r="K69" s="1" t="s">
        <v>188</v>
      </c>
      <c r="L69" s="1" t="s">
        <v>188</v>
      </c>
      <c r="M69" s="7" t="e">
        <f t="shared" si="2"/>
        <v>#VALUE!</v>
      </c>
      <c r="N69" s="7" t="e">
        <f t="shared" si="3"/>
        <v>#VALUE!</v>
      </c>
      <c r="O69" s="1" t="s">
        <v>39</v>
      </c>
      <c r="P69" s="1">
        <v>36.200000000000003</v>
      </c>
      <c r="Q69" s="1" t="s">
        <v>41</v>
      </c>
      <c r="R69" s="1"/>
      <c r="S69" s="1" t="s">
        <v>41</v>
      </c>
      <c r="T69" s="1"/>
      <c r="U69" s="1" t="s">
        <v>41</v>
      </c>
      <c r="V69" s="1"/>
      <c r="W69" s="1" t="s">
        <v>41</v>
      </c>
      <c r="X69" s="1"/>
      <c r="Y69" s="1" t="s">
        <v>41</v>
      </c>
      <c r="Z69" s="1"/>
      <c r="AA69" s="1" t="s">
        <v>41</v>
      </c>
      <c r="AB69" s="1"/>
      <c r="AC69" s="1" t="s">
        <v>41</v>
      </c>
      <c r="AD69" s="1"/>
      <c r="AE69" s="1" t="s">
        <v>41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0"/>
      <c r="AQ69" s="50"/>
      <c r="AR69" s="1"/>
      <c r="AS69" s="1"/>
      <c r="AT69" s="1"/>
      <c r="AU69" s="1"/>
      <c r="AV69" s="1"/>
    </row>
    <row r="70" spans="1:48" ht="15.75" customHeight="1" x14ac:dyDescent="0.3">
      <c r="A70" s="1">
        <v>72</v>
      </c>
      <c r="B70" s="19">
        <v>44638</v>
      </c>
      <c r="C70" s="1" t="s">
        <v>282</v>
      </c>
      <c r="D70" s="1" t="s">
        <v>282</v>
      </c>
      <c r="E70" s="1" t="s">
        <v>283</v>
      </c>
      <c r="F70" s="1" t="s">
        <v>36</v>
      </c>
      <c r="G70" s="1">
        <v>39</v>
      </c>
      <c r="H70" s="17" t="s">
        <v>284</v>
      </c>
      <c r="I70" s="1" t="s">
        <v>37</v>
      </c>
      <c r="J70" s="1" t="s">
        <v>38</v>
      </c>
      <c r="K70" s="1">
        <v>71</v>
      </c>
      <c r="L70" s="1">
        <v>169</v>
      </c>
      <c r="M70" s="7">
        <f t="shared" si="2"/>
        <v>1.69</v>
      </c>
      <c r="N70" s="7">
        <f t="shared" si="3"/>
        <v>24.859073561850078</v>
      </c>
      <c r="O70" s="1" t="s">
        <v>39</v>
      </c>
      <c r="P70" s="1">
        <v>37</v>
      </c>
      <c r="Q70" s="1" t="s">
        <v>38</v>
      </c>
      <c r="R70" s="1" t="s">
        <v>53</v>
      </c>
      <c r="S70" s="1" t="s">
        <v>38</v>
      </c>
      <c r="T70" s="1" t="s">
        <v>51</v>
      </c>
      <c r="U70" s="1" t="s">
        <v>41</v>
      </c>
      <c r="V70" s="1"/>
      <c r="W70" s="1" t="s">
        <v>38</v>
      </c>
      <c r="X70" s="1" t="s">
        <v>285</v>
      </c>
      <c r="Y70" s="1"/>
      <c r="Z70" s="1" t="s">
        <v>41</v>
      </c>
      <c r="AA70" s="1" t="s">
        <v>38</v>
      </c>
      <c r="AB70" s="1" t="s">
        <v>286</v>
      </c>
      <c r="AC70" s="1" t="s">
        <v>41</v>
      </c>
      <c r="AD70" s="1"/>
      <c r="AE70" s="1" t="s">
        <v>41</v>
      </c>
      <c r="AF70" s="1"/>
      <c r="AG70" s="1" t="s">
        <v>38</v>
      </c>
      <c r="AH70" s="1" t="s">
        <v>41</v>
      </c>
      <c r="AI70" s="1" t="s">
        <v>41</v>
      </c>
      <c r="AJ70" s="1" t="s">
        <v>41</v>
      </c>
      <c r="AK70" s="1" t="s">
        <v>41</v>
      </c>
      <c r="AL70" s="1" t="s">
        <v>41</v>
      </c>
      <c r="AM70" s="1"/>
      <c r="AN70" s="1"/>
      <c r="AO70" s="1" t="s">
        <v>41</v>
      </c>
      <c r="AP70" s="50" t="s">
        <v>94</v>
      </c>
      <c r="AQ70" s="50" t="s">
        <v>57</v>
      </c>
      <c r="AR70" s="1">
        <v>2</v>
      </c>
      <c r="AS70" s="1"/>
      <c r="AT70" s="1">
        <v>2</v>
      </c>
      <c r="AU70" s="1"/>
      <c r="AV70" s="1" t="s">
        <v>58</v>
      </c>
    </row>
    <row r="71" spans="1:48" ht="15.75" customHeight="1" x14ac:dyDescent="0.3">
      <c r="A71" s="1">
        <v>73</v>
      </c>
      <c r="B71" s="19">
        <v>44638</v>
      </c>
      <c r="C71" s="1" t="s">
        <v>287</v>
      </c>
      <c r="D71" s="1" t="s">
        <v>287</v>
      </c>
      <c r="E71" s="1" t="s">
        <v>288</v>
      </c>
      <c r="F71" s="1" t="s">
        <v>87</v>
      </c>
      <c r="G71" s="1">
        <v>30</v>
      </c>
      <c r="H71" s="17" t="s">
        <v>289</v>
      </c>
      <c r="I71" s="1" t="s">
        <v>68</v>
      </c>
      <c r="J71" s="1"/>
      <c r="K71" s="1">
        <v>63</v>
      </c>
      <c r="L71" s="1">
        <v>166</v>
      </c>
      <c r="M71" s="7">
        <f t="shared" si="2"/>
        <v>1.66</v>
      </c>
      <c r="N71" s="7">
        <f t="shared" si="3"/>
        <v>22.862534475250399</v>
      </c>
      <c r="O71" s="1" t="s">
        <v>39</v>
      </c>
      <c r="P71" s="1">
        <v>36.200000000000003</v>
      </c>
      <c r="Q71" s="1" t="s">
        <v>38</v>
      </c>
      <c r="R71" s="1" t="s">
        <v>50</v>
      </c>
      <c r="S71" s="1" t="s">
        <v>38</v>
      </c>
      <c r="T71" s="1" t="s">
        <v>52</v>
      </c>
      <c r="U71" s="1" t="s">
        <v>38</v>
      </c>
      <c r="V71" s="1" t="s">
        <v>195</v>
      </c>
      <c r="W71" s="1" t="s">
        <v>38</v>
      </c>
      <c r="X71" s="1" t="s">
        <v>52</v>
      </c>
      <c r="Y71" s="1" t="s">
        <v>38</v>
      </c>
      <c r="Z71" s="1" t="s">
        <v>50</v>
      </c>
      <c r="AA71" s="1" t="s">
        <v>104</v>
      </c>
      <c r="AB71" s="1" t="s">
        <v>55</v>
      </c>
      <c r="AC71" s="1" t="s">
        <v>41</v>
      </c>
      <c r="AD71" s="1"/>
      <c r="AE71" s="1" t="s">
        <v>41</v>
      </c>
      <c r="AF71" s="1"/>
      <c r="AG71" s="1" t="s">
        <v>38</v>
      </c>
      <c r="AH71" s="1" t="s">
        <v>41</v>
      </c>
      <c r="AI71" s="1" t="s">
        <v>41</v>
      </c>
      <c r="AJ71" s="1" t="s">
        <v>41</v>
      </c>
      <c r="AK71" s="1" t="s">
        <v>41</v>
      </c>
      <c r="AL71" s="1" t="s">
        <v>41</v>
      </c>
      <c r="AM71" s="1"/>
      <c r="AN71" s="1"/>
      <c r="AO71" s="1" t="s">
        <v>41</v>
      </c>
      <c r="AP71" s="50" t="s">
        <v>290</v>
      </c>
      <c r="AQ71" s="50" t="s">
        <v>45</v>
      </c>
      <c r="AR71" s="1">
        <v>4</v>
      </c>
      <c r="AS71" s="1"/>
      <c r="AT71" s="1">
        <v>2</v>
      </c>
      <c r="AU71" s="1"/>
      <c r="AV71" s="1" t="s">
        <v>58</v>
      </c>
    </row>
    <row r="72" spans="1:48" ht="15.75" customHeight="1" x14ac:dyDescent="0.3">
      <c r="A72" s="1">
        <v>74</v>
      </c>
      <c r="B72" s="19">
        <v>44642</v>
      </c>
      <c r="C72" s="1" t="s">
        <v>291</v>
      </c>
      <c r="D72" s="1" t="s">
        <v>291</v>
      </c>
      <c r="E72" s="1" t="s">
        <v>292</v>
      </c>
      <c r="F72" s="1" t="s">
        <v>36</v>
      </c>
      <c r="G72" s="1">
        <v>36</v>
      </c>
      <c r="H72" s="17" t="s">
        <v>293</v>
      </c>
      <c r="I72" s="1" t="s">
        <v>37</v>
      </c>
      <c r="J72" s="1" t="s">
        <v>41</v>
      </c>
      <c r="K72" s="1" t="s">
        <v>69</v>
      </c>
      <c r="L72" s="1" t="s">
        <v>69</v>
      </c>
      <c r="M72" s="7" t="e">
        <f t="shared" si="2"/>
        <v>#VALUE!</v>
      </c>
      <c r="N72" s="7" t="e">
        <f t="shared" si="3"/>
        <v>#VALUE!</v>
      </c>
      <c r="O72" s="1" t="s">
        <v>39</v>
      </c>
      <c r="P72" s="1" t="s">
        <v>69</v>
      </c>
      <c r="Q72" s="1" t="s">
        <v>38</v>
      </c>
      <c r="R72" s="1" t="s">
        <v>246</v>
      </c>
      <c r="S72" s="1" t="s">
        <v>38</v>
      </c>
      <c r="T72" s="1" t="s">
        <v>55</v>
      </c>
      <c r="U72" s="1" t="s">
        <v>38</v>
      </c>
      <c r="V72" s="1" t="s">
        <v>55</v>
      </c>
      <c r="W72" s="1" t="s">
        <v>104</v>
      </c>
      <c r="X72" s="1" t="s">
        <v>110</v>
      </c>
      <c r="Y72" s="1" t="s">
        <v>104</v>
      </c>
      <c r="Z72" s="1" t="s">
        <v>110</v>
      </c>
      <c r="AA72" s="1" t="s">
        <v>38</v>
      </c>
      <c r="AB72" s="1" t="s">
        <v>52</v>
      </c>
      <c r="AC72" s="1" t="s">
        <v>41</v>
      </c>
      <c r="AD72" s="1"/>
      <c r="AE72" s="1" t="s">
        <v>294</v>
      </c>
      <c r="AF72" s="1"/>
      <c r="AG72" s="1" t="s">
        <v>38</v>
      </c>
      <c r="AH72" s="1" t="s">
        <v>41</v>
      </c>
      <c r="AI72" s="1" t="s">
        <v>41</v>
      </c>
      <c r="AJ72" s="1" t="s">
        <v>41</v>
      </c>
      <c r="AK72" s="1" t="s">
        <v>41</v>
      </c>
      <c r="AL72" s="1" t="s">
        <v>41</v>
      </c>
      <c r="AM72" s="1"/>
      <c r="AN72" s="1"/>
      <c r="AO72" s="1"/>
      <c r="AP72" s="50" t="s">
        <v>295</v>
      </c>
      <c r="AQ72" s="50" t="s">
        <v>172</v>
      </c>
      <c r="AR72" s="1">
        <v>6</v>
      </c>
      <c r="AS72" s="1"/>
      <c r="AT72" s="1">
        <v>3</v>
      </c>
      <c r="AU72" s="1"/>
      <c r="AV72" s="1" t="s">
        <v>46</v>
      </c>
    </row>
    <row r="73" spans="1:48" ht="15.75" customHeight="1" x14ac:dyDescent="0.3">
      <c r="A73" s="1">
        <v>75</v>
      </c>
      <c r="B73" s="19">
        <v>44643</v>
      </c>
      <c r="C73" s="1" t="s">
        <v>296</v>
      </c>
      <c r="D73" s="1" t="s">
        <v>296</v>
      </c>
      <c r="E73" s="1" t="s">
        <v>297</v>
      </c>
      <c r="F73" s="1" t="s">
        <v>36</v>
      </c>
      <c r="G73" s="1">
        <v>29</v>
      </c>
      <c r="H73" s="17" t="s">
        <v>298</v>
      </c>
      <c r="I73" s="1" t="s">
        <v>68</v>
      </c>
      <c r="J73" s="1"/>
      <c r="K73" s="1" t="s">
        <v>69</v>
      </c>
      <c r="L73" s="1" t="s">
        <v>69</v>
      </c>
      <c r="M73" s="7" t="e">
        <f t="shared" si="2"/>
        <v>#VALUE!</v>
      </c>
      <c r="N73" s="7" t="e">
        <f t="shared" si="3"/>
        <v>#VALUE!</v>
      </c>
      <c r="O73" s="1" t="s">
        <v>39</v>
      </c>
      <c r="P73" s="1">
        <v>36.200000000000003</v>
      </c>
      <c r="Q73" s="1" t="s">
        <v>38</v>
      </c>
      <c r="R73" s="1" t="s">
        <v>51</v>
      </c>
      <c r="S73" s="1" t="s">
        <v>41</v>
      </c>
      <c r="T73" s="1"/>
      <c r="U73" s="1" t="s">
        <v>41</v>
      </c>
      <c r="V73" s="1"/>
      <c r="W73" s="1" t="s">
        <v>38</v>
      </c>
      <c r="X73" s="1" t="s">
        <v>165</v>
      </c>
      <c r="Y73" s="1" t="s">
        <v>38</v>
      </c>
      <c r="Z73" s="1" t="s">
        <v>55</v>
      </c>
      <c r="AA73" s="1" t="s">
        <v>38</v>
      </c>
      <c r="AB73" s="1" t="s">
        <v>165</v>
      </c>
      <c r="AC73" s="1" t="s">
        <v>41</v>
      </c>
      <c r="AD73" s="1"/>
      <c r="AE73" s="1" t="s">
        <v>41</v>
      </c>
      <c r="AF73" s="1"/>
      <c r="AG73" s="1" t="s">
        <v>38</v>
      </c>
      <c r="AH73" s="1" t="s">
        <v>41</v>
      </c>
      <c r="AI73" s="1" t="s">
        <v>41</v>
      </c>
      <c r="AJ73" s="1" t="s">
        <v>38</v>
      </c>
      <c r="AK73" s="1" t="s">
        <v>38</v>
      </c>
      <c r="AL73" s="1" t="s">
        <v>41</v>
      </c>
      <c r="AM73" s="1"/>
      <c r="AN73" s="1"/>
      <c r="AO73" s="1" t="s">
        <v>41</v>
      </c>
      <c r="AP73" s="50"/>
      <c r="AQ73" s="50" t="s">
        <v>172</v>
      </c>
      <c r="AR73" s="1">
        <v>3</v>
      </c>
      <c r="AS73" s="1"/>
      <c r="AT73" s="1">
        <v>3</v>
      </c>
      <c r="AU73" s="1"/>
      <c r="AV73" s="1" t="s">
        <v>58</v>
      </c>
    </row>
    <row r="74" spans="1:48" ht="15.75" customHeight="1" x14ac:dyDescent="0.3">
      <c r="A74" s="1">
        <v>76</v>
      </c>
      <c r="B74" s="19">
        <v>44644</v>
      </c>
      <c r="C74" s="1" t="s">
        <v>299</v>
      </c>
      <c r="D74" s="1" t="s">
        <v>299</v>
      </c>
      <c r="E74" s="1" t="s">
        <v>216</v>
      </c>
      <c r="F74" s="1" t="s">
        <v>87</v>
      </c>
      <c r="G74" s="1">
        <v>43</v>
      </c>
      <c r="H74" s="17" t="s">
        <v>300</v>
      </c>
      <c r="I74" s="1" t="s">
        <v>37</v>
      </c>
      <c r="J74" s="1" t="s">
        <v>38</v>
      </c>
      <c r="K74" s="1" t="s">
        <v>69</v>
      </c>
      <c r="L74" s="1" t="s">
        <v>69</v>
      </c>
      <c r="M74" s="7" t="e">
        <f t="shared" si="2"/>
        <v>#VALUE!</v>
      </c>
      <c r="N74" s="7" t="e">
        <f t="shared" si="3"/>
        <v>#VALUE!</v>
      </c>
      <c r="O74" s="1" t="s">
        <v>39</v>
      </c>
      <c r="P74" s="1">
        <v>37</v>
      </c>
      <c r="Q74" s="1" t="s">
        <v>38</v>
      </c>
      <c r="R74" s="1" t="s">
        <v>43</v>
      </c>
      <c r="S74" s="1" t="s">
        <v>41</v>
      </c>
      <c r="T74" s="1"/>
      <c r="U74" s="1" t="s">
        <v>38</v>
      </c>
      <c r="V74" s="1" t="s">
        <v>195</v>
      </c>
      <c r="W74" s="1" t="s">
        <v>41</v>
      </c>
      <c r="X74" s="1"/>
      <c r="Y74" s="1" t="s">
        <v>41</v>
      </c>
      <c r="Z74" s="1"/>
      <c r="AA74" s="1" t="s">
        <v>41</v>
      </c>
      <c r="AB74" s="1"/>
      <c r="AC74" s="1" t="s">
        <v>41</v>
      </c>
      <c r="AD74" s="1"/>
      <c r="AE74" s="1" t="s">
        <v>301</v>
      </c>
      <c r="AF74" s="1"/>
      <c r="AG74" s="1" t="s">
        <v>38</v>
      </c>
      <c r="AH74" s="1" t="s">
        <v>41</v>
      </c>
      <c r="AI74" s="1" t="s">
        <v>41</v>
      </c>
      <c r="AJ74" s="1" t="s">
        <v>38</v>
      </c>
      <c r="AK74" s="1" t="s">
        <v>41</v>
      </c>
      <c r="AL74" s="1" t="s">
        <v>41</v>
      </c>
      <c r="AM74" s="1"/>
      <c r="AN74" s="1"/>
      <c r="AO74" s="1" t="s">
        <v>41</v>
      </c>
      <c r="AP74" s="50" t="s">
        <v>118</v>
      </c>
      <c r="AQ74" s="50" t="s">
        <v>57</v>
      </c>
      <c r="AR74" s="1">
        <v>1</v>
      </c>
      <c r="AS74" s="1"/>
      <c r="AT74" s="1">
        <v>1</v>
      </c>
      <c r="AU74" s="1"/>
      <c r="AV74" s="1" t="s">
        <v>46</v>
      </c>
    </row>
    <row r="75" spans="1:48" ht="15.75" customHeight="1" x14ac:dyDescent="0.3">
      <c r="A75" s="1">
        <v>77</v>
      </c>
      <c r="B75" s="19">
        <v>44648</v>
      </c>
      <c r="C75" s="1" t="s">
        <v>302</v>
      </c>
      <c r="D75" s="1" t="s">
        <v>877</v>
      </c>
      <c r="E75" s="1" t="s">
        <v>303</v>
      </c>
      <c r="F75" s="1" t="s">
        <v>36</v>
      </c>
      <c r="G75" s="1">
        <v>30</v>
      </c>
      <c r="H75" s="21" t="s">
        <v>304</v>
      </c>
      <c r="I75" s="22" t="s">
        <v>68</v>
      </c>
      <c r="J75" s="1" t="s">
        <v>69</v>
      </c>
      <c r="K75" s="1">
        <v>49</v>
      </c>
      <c r="L75" s="1">
        <v>161</v>
      </c>
      <c r="M75" s="7">
        <f t="shared" si="2"/>
        <v>1.61</v>
      </c>
      <c r="N75" s="7">
        <f t="shared" si="3"/>
        <v>18.903591682419659</v>
      </c>
      <c r="O75" s="1" t="s">
        <v>39</v>
      </c>
      <c r="P75" s="1">
        <v>36</v>
      </c>
      <c r="Q75" s="1" t="s">
        <v>38</v>
      </c>
      <c r="R75" s="1" t="s">
        <v>305</v>
      </c>
      <c r="S75" s="1" t="s">
        <v>41</v>
      </c>
      <c r="T75" s="1"/>
      <c r="U75" s="1" t="s">
        <v>38</v>
      </c>
      <c r="V75" s="1" t="s">
        <v>82</v>
      </c>
      <c r="W75" s="1" t="s">
        <v>41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50"/>
      <c r="AQ75" s="50"/>
      <c r="AR75" s="1"/>
      <c r="AS75" s="1"/>
      <c r="AT75" s="1"/>
      <c r="AU75" s="1"/>
      <c r="AV75" s="1"/>
    </row>
    <row r="76" spans="1:48" ht="15.75" customHeight="1" x14ac:dyDescent="0.3">
      <c r="A76" s="1">
        <v>78</v>
      </c>
      <c r="B76" s="19">
        <v>44650</v>
      </c>
      <c r="C76" s="1" t="s">
        <v>306</v>
      </c>
      <c r="D76" s="1" t="s">
        <v>306</v>
      </c>
      <c r="E76" s="1" t="s">
        <v>307</v>
      </c>
      <c r="F76" s="1" t="s">
        <v>36</v>
      </c>
      <c r="G76" s="1">
        <v>24</v>
      </c>
      <c r="H76" s="1"/>
      <c r="I76" s="1" t="s">
        <v>68</v>
      </c>
      <c r="J76" s="1"/>
      <c r="K76" s="1">
        <v>57</v>
      </c>
      <c r="L76" s="1">
        <v>170</v>
      </c>
      <c r="M76" s="7">
        <f t="shared" si="2"/>
        <v>1.7</v>
      </c>
      <c r="N76" s="7">
        <f t="shared" si="3"/>
        <v>19.723183391003463</v>
      </c>
      <c r="O76" s="1" t="s">
        <v>39</v>
      </c>
      <c r="P76" s="1">
        <v>37</v>
      </c>
      <c r="Q76" s="1" t="s">
        <v>38</v>
      </c>
      <c r="R76" s="1" t="s">
        <v>110</v>
      </c>
      <c r="S76" s="1" t="s">
        <v>38</v>
      </c>
      <c r="T76" s="1" t="s">
        <v>110</v>
      </c>
      <c r="U76" s="1" t="s">
        <v>38</v>
      </c>
      <c r="V76" s="1" t="s">
        <v>110</v>
      </c>
      <c r="W76" s="1" t="s">
        <v>38</v>
      </c>
      <c r="X76" s="1" t="s">
        <v>110</v>
      </c>
      <c r="Y76" s="1" t="s">
        <v>41</v>
      </c>
      <c r="Z76" s="1"/>
      <c r="AA76" s="1" t="s">
        <v>38</v>
      </c>
      <c r="AB76" s="1" t="s">
        <v>110</v>
      </c>
      <c r="AC76" s="1" t="s">
        <v>38</v>
      </c>
      <c r="AD76" s="1" t="s">
        <v>43</v>
      </c>
      <c r="AE76" s="1" t="s">
        <v>41</v>
      </c>
      <c r="AF76" s="1"/>
      <c r="AG76" s="1" t="s">
        <v>38</v>
      </c>
      <c r="AH76" s="1" t="s">
        <v>41</v>
      </c>
      <c r="AI76" s="1" t="s">
        <v>41</v>
      </c>
      <c r="AJ76" s="1" t="s">
        <v>41</v>
      </c>
      <c r="AK76" s="1" t="s">
        <v>41</v>
      </c>
      <c r="AL76" s="1" t="s">
        <v>41</v>
      </c>
      <c r="AM76" s="1"/>
      <c r="AN76" s="1"/>
      <c r="AO76" s="1" t="s">
        <v>41</v>
      </c>
      <c r="AP76" s="50" t="s">
        <v>71</v>
      </c>
      <c r="AQ76" s="50" t="s">
        <v>72</v>
      </c>
      <c r="AR76" s="1">
        <v>1</v>
      </c>
      <c r="AS76" s="1"/>
      <c r="AT76" s="1">
        <v>1</v>
      </c>
      <c r="AU76" s="1"/>
      <c r="AV76" s="1" t="s">
        <v>58</v>
      </c>
    </row>
    <row r="77" spans="1:48" ht="15.75" customHeight="1" x14ac:dyDescent="0.3">
      <c r="A77" s="1">
        <v>79</v>
      </c>
      <c r="B77" s="18">
        <v>44663</v>
      </c>
      <c r="C77" s="1" t="s">
        <v>308</v>
      </c>
      <c r="D77" s="1" t="s">
        <v>308</v>
      </c>
      <c r="E77" s="1" t="s">
        <v>309</v>
      </c>
      <c r="F77" s="1" t="s">
        <v>36</v>
      </c>
      <c r="G77" s="1">
        <v>34</v>
      </c>
      <c r="H77" s="17" t="s">
        <v>310</v>
      </c>
      <c r="I77" s="1" t="s">
        <v>37</v>
      </c>
      <c r="J77" s="1" t="s">
        <v>38</v>
      </c>
      <c r="K77" s="1" t="s">
        <v>69</v>
      </c>
      <c r="L77" s="1" t="s">
        <v>69</v>
      </c>
      <c r="M77" s="7" t="e">
        <f t="shared" si="2"/>
        <v>#VALUE!</v>
      </c>
      <c r="N77" s="7" t="e">
        <f t="shared" si="3"/>
        <v>#VALUE!</v>
      </c>
      <c r="O77" s="1" t="s">
        <v>39</v>
      </c>
      <c r="P77" s="1">
        <v>37</v>
      </c>
      <c r="Q77" s="1" t="s">
        <v>38</v>
      </c>
      <c r="R77" s="1" t="s">
        <v>53</v>
      </c>
      <c r="S77" s="1" t="s">
        <v>38</v>
      </c>
      <c r="T77" s="1" t="s">
        <v>53</v>
      </c>
      <c r="U77" s="1" t="s">
        <v>38</v>
      </c>
      <c r="V77" s="1" t="s">
        <v>53</v>
      </c>
      <c r="W77" s="1" t="s">
        <v>38</v>
      </c>
      <c r="X77" s="1" t="s">
        <v>53</v>
      </c>
      <c r="Y77" s="1" t="s">
        <v>41</v>
      </c>
      <c r="Z77" s="1"/>
      <c r="AA77" s="1" t="s">
        <v>38</v>
      </c>
      <c r="AB77" s="1" t="s">
        <v>53</v>
      </c>
      <c r="AC77" s="1" t="s">
        <v>41</v>
      </c>
      <c r="AD77" s="1"/>
      <c r="AE77" s="1" t="s">
        <v>311</v>
      </c>
      <c r="AF77" s="1"/>
      <c r="AG77" s="1" t="s">
        <v>41</v>
      </c>
      <c r="AH77" s="1" t="s">
        <v>41</v>
      </c>
      <c r="AI77" s="1" t="s">
        <v>41</v>
      </c>
      <c r="AJ77" s="1" t="s">
        <v>41</v>
      </c>
      <c r="AK77" s="1" t="s">
        <v>41</v>
      </c>
      <c r="AL77" s="1" t="s">
        <v>312</v>
      </c>
      <c r="AM77" s="1"/>
      <c r="AN77" s="1" t="s">
        <v>313</v>
      </c>
      <c r="AO77" s="1" t="s">
        <v>41</v>
      </c>
      <c r="AP77" s="50" t="s">
        <v>214</v>
      </c>
      <c r="AQ77" s="50" t="s">
        <v>72</v>
      </c>
      <c r="AR77" s="1">
        <v>2</v>
      </c>
      <c r="AS77" s="1"/>
      <c r="AT77" s="1">
        <v>1</v>
      </c>
      <c r="AU77" s="1"/>
      <c r="AV77" s="1" t="s">
        <v>58</v>
      </c>
    </row>
    <row r="78" spans="1:48" ht="15.75" customHeight="1" x14ac:dyDescent="0.3">
      <c r="A78" s="1">
        <v>80</v>
      </c>
      <c r="B78" s="18">
        <v>44657</v>
      </c>
      <c r="C78" s="1" t="s">
        <v>314</v>
      </c>
      <c r="D78" s="1" t="s">
        <v>314</v>
      </c>
      <c r="E78" s="1" t="s">
        <v>102</v>
      </c>
      <c r="F78" s="1" t="s">
        <v>36</v>
      </c>
      <c r="G78" s="1">
        <v>57</v>
      </c>
      <c r="H78" s="17" t="s">
        <v>315</v>
      </c>
      <c r="I78" s="1" t="s">
        <v>37</v>
      </c>
      <c r="J78" s="1" t="s">
        <v>38</v>
      </c>
      <c r="K78" s="1" t="s">
        <v>69</v>
      </c>
      <c r="L78" s="1" t="s">
        <v>69</v>
      </c>
      <c r="M78" s="7" t="e">
        <f t="shared" si="2"/>
        <v>#VALUE!</v>
      </c>
      <c r="N78" s="7" t="e">
        <f t="shared" si="3"/>
        <v>#VALUE!</v>
      </c>
      <c r="O78" s="1" t="s">
        <v>39</v>
      </c>
      <c r="P78" s="1" t="s">
        <v>69</v>
      </c>
      <c r="Q78" s="1" t="s">
        <v>38</v>
      </c>
      <c r="R78" s="1" t="s">
        <v>52</v>
      </c>
      <c r="S78" s="1" t="s">
        <v>38</v>
      </c>
      <c r="T78" s="1" t="s">
        <v>52</v>
      </c>
      <c r="U78" s="1" t="s">
        <v>38</v>
      </c>
      <c r="V78" s="1" t="s">
        <v>65</v>
      </c>
      <c r="W78" s="1" t="s">
        <v>38</v>
      </c>
      <c r="X78" s="1" t="s">
        <v>43</v>
      </c>
      <c r="Y78" s="1" t="s">
        <v>41</v>
      </c>
      <c r="Z78" s="1"/>
      <c r="AA78" s="1" t="s">
        <v>41</v>
      </c>
      <c r="AB78" s="1"/>
      <c r="AC78" s="1" t="s">
        <v>41</v>
      </c>
      <c r="AD78" s="1"/>
      <c r="AE78" s="1" t="s">
        <v>41</v>
      </c>
      <c r="AF78" s="1"/>
      <c r="AG78" s="1" t="s">
        <v>38</v>
      </c>
      <c r="AH78" s="1" t="s">
        <v>41</v>
      </c>
      <c r="AI78" s="1" t="s">
        <v>41</v>
      </c>
      <c r="AJ78" s="1" t="s">
        <v>41</v>
      </c>
      <c r="AK78" s="1" t="s">
        <v>41</v>
      </c>
      <c r="AL78" s="1" t="s">
        <v>38</v>
      </c>
      <c r="AM78" s="1">
        <v>2008</v>
      </c>
      <c r="AN78" s="1" t="s">
        <v>313</v>
      </c>
      <c r="AO78" s="1" t="s">
        <v>41</v>
      </c>
      <c r="AP78" s="50" t="s">
        <v>316</v>
      </c>
      <c r="AQ78" s="50" t="s">
        <v>61</v>
      </c>
      <c r="AR78" s="1">
        <v>1</v>
      </c>
      <c r="AS78" s="1"/>
      <c r="AT78" s="1">
        <v>1</v>
      </c>
      <c r="AU78" s="1"/>
      <c r="AV78" s="1" t="s">
        <v>58</v>
      </c>
    </row>
    <row r="79" spans="1:48" ht="15.75" customHeight="1" x14ac:dyDescent="0.3">
      <c r="A79" s="1">
        <v>81</v>
      </c>
      <c r="B79" s="19">
        <v>44697</v>
      </c>
      <c r="C79" s="1" t="s">
        <v>317</v>
      </c>
      <c r="D79" s="1" t="s">
        <v>317</v>
      </c>
      <c r="E79" s="1" t="s">
        <v>203</v>
      </c>
      <c r="F79" s="1" t="s">
        <v>87</v>
      </c>
      <c r="G79" s="1">
        <v>29</v>
      </c>
      <c r="H79" s="17" t="s">
        <v>318</v>
      </c>
      <c r="I79" s="1" t="s">
        <v>37</v>
      </c>
      <c r="J79" s="1" t="s">
        <v>38</v>
      </c>
      <c r="K79" s="1" t="s">
        <v>69</v>
      </c>
      <c r="L79" s="1" t="s">
        <v>69</v>
      </c>
      <c r="M79" s="7" t="e">
        <f t="shared" si="2"/>
        <v>#VALUE!</v>
      </c>
      <c r="N79" s="7" t="e">
        <f t="shared" si="3"/>
        <v>#VALUE!</v>
      </c>
      <c r="O79" s="1" t="s">
        <v>39</v>
      </c>
      <c r="P79" s="1" t="s">
        <v>69</v>
      </c>
      <c r="Q79" s="1" t="s">
        <v>38</v>
      </c>
      <c r="R79" s="1" t="s">
        <v>43</v>
      </c>
      <c r="S79" s="1" t="s">
        <v>41</v>
      </c>
      <c r="T79" s="1"/>
      <c r="U79" s="1" t="s">
        <v>41</v>
      </c>
      <c r="V79" s="1"/>
      <c r="W79" s="1" t="s">
        <v>41</v>
      </c>
      <c r="X79" s="1"/>
      <c r="Y79" s="1" t="s">
        <v>41</v>
      </c>
      <c r="Z79" s="1"/>
      <c r="AA79" s="1" t="s">
        <v>38</v>
      </c>
      <c r="AB79" s="1" t="s">
        <v>52</v>
      </c>
      <c r="AC79" s="1" t="s">
        <v>41</v>
      </c>
      <c r="AD79" s="1"/>
      <c r="AE79" s="1" t="s">
        <v>41</v>
      </c>
      <c r="AF79" s="1"/>
      <c r="AG79" s="1" t="s">
        <v>41</v>
      </c>
      <c r="AH79" s="1" t="s">
        <v>41</v>
      </c>
      <c r="AI79" s="1" t="s">
        <v>41</v>
      </c>
      <c r="AJ79" s="1" t="s">
        <v>38</v>
      </c>
      <c r="AK79" s="1" t="s">
        <v>38</v>
      </c>
      <c r="AL79" s="1" t="s">
        <v>41</v>
      </c>
      <c r="AM79" s="1"/>
      <c r="AN79" s="1"/>
      <c r="AO79" s="1" t="s">
        <v>41</v>
      </c>
      <c r="AP79" s="50" t="s">
        <v>141</v>
      </c>
      <c r="AQ79" s="50" t="s">
        <v>99</v>
      </c>
      <c r="AR79" s="1">
        <v>2</v>
      </c>
      <c r="AS79" s="1"/>
      <c r="AT79" s="1">
        <v>1</v>
      </c>
      <c r="AU79" s="1"/>
      <c r="AV79" s="1" t="s">
        <v>58</v>
      </c>
    </row>
    <row r="80" spans="1:48" ht="15.75" customHeight="1" x14ac:dyDescent="0.3">
      <c r="A80" s="1">
        <v>82</v>
      </c>
      <c r="B80" s="19">
        <v>44701</v>
      </c>
      <c r="C80" s="1" t="s">
        <v>319</v>
      </c>
      <c r="D80" s="1" t="s">
        <v>319</v>
      </c>
      <c r="E80" s="1" t="s">
        <v>320</v>
      </c>
      <c r="F80" s="1" t="s">
        <v>36</v>
      </c>
      <c r="G80" s="1">
        <v>42</v>
      </c>
      <c r="H80" s="17" t="s">
        <v>321</v>
      </c>
      <c r="I80" s="1" t="s">
        <v>68</v>
      </c>
      <c r="J80" s="1"/>
      <c r="K80" s="1">
        <v>48</v>
      </c>
      <c r="L80" s="1" t="s">
        <v>69</v>
      </c>
      <c r="M80" s="7" t="e">
        <f t="shared" si="2"/>
        <v>#VALUE!</v>
      </c>
      <c r="N80" s="7" t="e">
        <f t="shared" si="3"/>
        <v>#VALUE!</v>
      </c>
      <c r="O80" s="1" t="s">
        <v>39</v>
      </c>
      <c r="P80" s="1" t="s">
        <v>69</v>
      </c>
      <c r="Q80" s="1" t="s">
        <v>38</v>
      </c>
      <c r="R80" s="1" t="s">
        <v>51</v>
      </c>
      <c r="S80" s="1" t="s">
        <v>38</v>
      </c>
      <c r="T80" s="1" t="s">
        <v>51</v>
      </c>
      <c r="U80" s="1" t="s">
        <v>38</v>
      </c>
      <c r="V80" s="1" t="s">
        <v>322</v>
      </c>
      <c r="W80" s="1" t="s">
        <v>38</v>
      </c>
      <c r="X80" s="1" t="s">
        <v>51</v>
      </c>
      <c r="Y80" s="1" t="s">
        <v>41</v>
      </c>
      <c r="Z80" s="1"/>
      <c r="AA80" s="1" t="s">
        <v>38</v>
      </c>
      <c r="AB80" s="1" t="s">
        <v>51</v>
      </c>
      <c r="AC80" s="1" t="s">
        <v>41</v>
      </c>
      <c r="AD80" s="1"/>
      <c r="AE80" s="1" t="s">
        <v>41</v>
      </c>
      <c r="AF80" s="1"/>
      <c r="AG80" s="1" t="s">
        <v>38</v>
      </c>
      <c r="AH80" s="1" t="s">
        <v>41</v>
      </c>
      <c r="AI80" s="1" t="s">
        <v>41</v>
      </c>
      <c r="AJ80" s="1" t="s">
        <v>38</v>
      </c>
      <c r="AK80" s="1" t="s">
        <v>38</v>
      </c>
      <c r="AL80" s="1" t="s">
        <v>38</v>
      </c>
      <c r="AM80" s="1">
        <v>2021</v>
      </c>
      <c r="AN80" s="1" t="s">
        <v>313</v>
      </c>
      <c r="AO80" s="1" t="s">
        <v>41</v>
      </c>
      <c r="AP80" s="50" t="s">
        <v>323</v>
      </c>
      <c r="AQ80" s="50" t="s">
        <v>61</v>
      </c>
      <c r="AR80" s="1">
        <v>1</v>
      </c>
      <c r="AS80" s="1"/>
      <c r="AT80" s="1">
        <v>1</v>
      </c>
      <c r="AU80" s="1"/>
      <c r="AV80" s="1" t="s">
        <v>58</v>
      </c>
    </row>
    <row r="81" spans="1:48" ht="15.75" customHeight="1" x14ac:dyDescent="0.3">
      <c r="A81" s="1">
        <v>83</v>
      </c>
      <c r="B81" s="19">
        <v>44704</v>
      </c>
      <c r="C81" s="1" t="s">
        <v>324</v>
      </c>
      <c r="D81" s="1" t="s">
        <v>324</v>
      </c>
      <c r="E81" s="1" t="s">
        <v>152</v>
      </c>
      <c r="F81" s="1" t="s">
        <v>87</v>
      </c>
      <c r="G81" s="1">
        <v>24</v>
      </c>
      <c r="H81" s="17" t="s">
        <v>325</v>
      </c>
      <c r="I81" s="1" t="s">
        <v>68</v>
      </c>
      <c r="J81" s="1"/>
      <c r="K81" s="1">
        <v>50</v>
      </c>
      <c r="L81" s="1">
        <v>149</v>
      </c>
      <c r="M81" s="7">
        <f t="shared" si="2"/>
        <v>1.49</v>
      </c>
      <c r="N81" s="7">
        <f t="shared" si="3"/>
        <v>22.521508040178372</v>
      </c>
      <c r="O81" s="1" t="s">
        <v>39</v>
      </c>
      <c r="P81" s="1" t="s">
        <v>69</v>
      </c>
      <c r="Q81" s="1" t="s">
        <v>38</v>
      </c>
      <c r="R81" s="1" t="s">
        <v>326</v>
      </c>
      <c r="S81" s="1" t="s">
        <v>38</v>
      </c>
      <c r="T81" s="1" t="s">
        <v>327</v>
      </c>
      <c r="U81" s="1" t="s">
        <v>38</v>
      </c>
      <c r="V81" s="1" t="s">
        <v>328</v>
      </c>
      <c r="W81" s="1" t="s">
        <v>41</v>
      </c>
      <c r="X81" s="1"/>
      <c r="Y81" s="1" t="s">
        <v>38</v>
      </c>
      <c r="Z81" s="1" t="s">
        <v>329</v>
      </c>
      <c r="AA81" s="1" t="s">
        <v>38</v>
      </c>
      <c r="AB81" s="1" t="s">
        <v>329</v>
      </c>
      <c r="AC81" s="1" t="s">
        <v>38</v>
      </c>
      <c r="AD81" s="1" t="s">
        <v>330</v>
      </c>
      <c r="AE81" s="1" t="s">
        <v>41</v>
      </c>
      <c r="AF81" s="1"/>
      <c r="AG81" s="1" t="s">
        <v>38</v>
      </c>
      <c r="AH81" s="1" t="s">
        <v>38</v>
      </c>
      <c r="AI81" s="1" t="s">
        <v>41</v>
      </c>
      <c r="AJ81" s="1" t="s">
        <v>41</v>
      </c>
      <c r="AK81" s="1" t="s">
        <v>41</v>
      </c>
      <c r="AL81" s="1"/>
      <c r="AM81" s="1"/>
      <c r="AN81" s="1"/>
      <c r="AO81" s="1" t="s">
        <v>41</v>
      </c>
      <c r="AP81" s="50" t="s">
        <v>144</v>
      </c>
      <c r="AQ81" s="50" t="s">
        <v>61</v>
      </c>
      <c r="AR81" s="1">
        <v>2</v>
      </c>
      <c r="AS81" s="1"/>
      <c r="AT81" s="1">
        <v>1</v>
      </c>
      <c r="AU81" s="1"/>
      <c r="AV81" s="1" t="s">
        <v>58</v>
      </c>
    </row>
    <row r="82" spans="1:48" ht="15.75" customHeight="1" x14ac:dyDescent="0.3">
      <c r="A82" s="1">
        <v>84</v>
      </c>
      <c r="B82" s="19">
        <v>44706</v>
      </c>
      <c r="C82" s="1" t="s">
        <v>331</v>
      </c>
      <c r="D82" s="1" t="s">
        <v>331</v>
      </c>
      <c r="E82" s="1" t="s">
        <v>224</v>
      </c>
      <c r="F82" s="1" t="s">
        <v>87</v>
      </c>
      <c r="G82" s="1">
        <v>36</v>
      </c>
      <c r="H82" s="17" t="s">
        <v>332</v>
      </c>
      <c r="I82" s="1" t="s">
        <v>68</v>
      </c>
      <c r="J82" s="1"/>
      <c r="K82" s="1">
        <v>58</v>
      </c>
      <c r="L82" s="1">
        <v>161</v>
      </c>
      <c r="M82" s="7">
        <f t="shared" si="2"/>
        <v>1.61</v>
      </c>
      <c r="N82" s="7">
        <f t="shared" si="3"/>
        <v>22.375679950619187</v>
      </c>
      <c r="O82" s="1" t="s">
        <v>39</v>
      </c>
      <c r="P82" s="1">
        <v>36</v>
      </c>
      <c r="Q82" s="1" t="s">
        <v>38</v>
      </c>
      <c r="R82" s="1" t="s">
        <v>150</v>
      </c>
      <c r="S82" s="1" t="s">
        <v>41</v>
      </c>
      <c r="T82" s="1"/>
      <c r="U82" s="1" t="s">
        <v>38</v>
      </c>
      <c r="V82" s="1" t="s">
        <v>150</v>
      </c>
      <c r="W82" s="1" t="s">
        <v>38</v>
      </c>
      <c r="X82" s="1" t="s">
        <v>150</v>
      </c>
      <c r="Y82" s="1" t="s">
        <v>41</v>
      </c>
      <c r="Z82" s="1"/>
      <c r="AA82" s="1" t="s">
        <v>38</v>
      </c>
      <c r="AB82" s="1" t="s">
        <v>132</v>
      </c>
      <c r="AC82" s="1" t="s">
        <v>41</v>
      </c>
      <c r="AD82" s="1"/>
      <c r="AE82" s="1" t="s">
        <v>41</v>
      </c>
      <c r="AF82" s="1"/>
      <c r="AG82" s="1" t="s">
        <v>38</v>
      </c>
      <c r="AH82" s="1" t="s">
        <v>38</v>
      </c>
      <c r="AI82" s="1" t="s">
        <v>38</v>
      </c>
      <c r="AJ82" s="1" t="s">
        <v>41</v>
      </c>
      <c r="AK82" s="1" t="s">
        <v>41</v>
      </c>
      <c r="AL82" s="1"/>
      <c r="AM82" s="1"/>
      <c r="AN82" s="1"/>
      <c r="AO82" s="1" t="s">
        <v>38</v>
      </c>
      <c r="AP82" s="50" t="s">
        <v>118</v>
      </c>
      <c r="AQ82" s="50" t="s">
        <v>72</v>
      </c>
      <c r="AR82" s="1">
        <v>7</v>
      </c>
      <c r="AS82" s="1"/>
      <c r="AT82" s="1">
        <v>2</v>
      </c>
      <c r="AU82" s="1"/>
      <c r="AV82" s="1" t="s">
        <v>58</v>
      </c>
    </row>
    <row r="83" spans="1:48" ht="15.75" customHeight="1" x14ac:dyDescent="0.3">
      <c r="A83" s="1">
        <v>85</v>
      </c>
      <c r="B83" s="19">
        <v>44707</v>
      </c>
      <c r="C83" s="1" t="s">
        <v>333</v>
      </c>
      <c r="D83" s="1" t="s">
        <v>333</v>
      </c>
      <c r="E83" s="1" t="s">
        <v>334</v>
      </c>
      <c r="F83" s="1" t="s">
        <v>36</v>
      </c>
      <c r="G83" s="1">
        <v>56</v>
      </c>
      <c r="H83" s="17" t="s">
        <v>335</v>
      </c>
      <c r="I83" s="1" t="s">
        <v>37</v>
      </c>
      <c r="J83" s="1" t="s">
        <v>41</v>
      </c>
      <c r="K83" s="1" t="s">
        <v>69</v>
      </c>
      <c r="L83" s="1" t="s">
        <v>69</v>
      </c>
      <c r="M83" s="7" t="e">
        <f t="shared" si="2"/>
        <v>#VALUE!</v>
      </c>
      <c r="N83" s="7" t="e">
        <f t="shared" si="3"/>
        <v>#VALUE!</v>
      </c>
      <c r="O83" s="1" t="s">
        <v>39</v>
      </c>
      <c r="P83" s="1">
        <v>36.200000000000003</v>
      </c>
      <c r="Q83" s="1" t="s">
        <v>38</v>
      </c>
      <c r="R83" s="1" t="s">
        <v>150</v>
      </c>
      <c r="S83" s="1" t="s">
        <v>38</v>
      </c>
      <c r="T83" s="1" t="s">
        <v>228</v>
      </c>
      <c r="U83" s="1" t="s">
        <v>38</v>
      </c>
      <c r="V83" s="1" t="s">
        <v>336</v>
      </c>
      <c r="W83" s="1" t="s">
        <v>38</v>
      </c>
      <c r="X83" s="1" t="s">
        <v>50</v>
      </c>
      <c r="Y83" s="1" t="s">
        <v>104</v>
      </c>
      <c r="Z83" s="1" t="s">
        <v>64</v>
      </c>
      <c r="AA83" s="1" t="s">
        <v>38</v>
      </c>
      <c r="AB83" s="1" t="s">
        <v>65</v>
      </c>
      <c r="AC83" s="1" t="s">
        <v>41</v>
      </c>
      <c r="AD83" s="1"/>
      <c r="AE83" s="1" t="s">
        <v>41</v>
      </c>
      <c r="AF83" s="1"/>
      <c r="AG83" s="1" t="s">
        <v>38</v>
      </c>
      <c r="AH83" s="1" t="s">
        <v>41</v>
      </c>
      <c r="AI83" s="1" t="s">
        <v>41</v>
      </c>
      <c r="AJ83" s="1" t="s">
        <v>38</v>
      </c>
      <c r="AK83" s="1" t="s">
        <v>41</v>
      </c>
      <c r="AL83" s="1" t="s">
        <v>41</v>
      </c>
      <c r="AM83" s="1"/>
      <c r="AN83" s="1"/>
      <c r="AO83" s="1" t="s">
        <v>41</v>
      </c>
      <c r="AP83" s="50" t="s">
        <v>337</v>
      </c>
      <c r="AQ83" s="50" t="s">
        <v>57</v>
      </c>
      <c r="AR83" s="1">
        <v>2</v>
      </c>
      <c r="AS83" s="1"/>
      <c r="AT83" s="1">
        <v>2</v>
      </c>
      <c r="AU83" s="1"/>
      <c r="AV83" s="1" t="s">
        <v>58</v>
      </c>
    </row>
    <row r="84" spans="1:48" ht="15.75" customHeight="1" x14ac:dyDescent="0.3">
      <c r="A84" s="1">
        <v>86</v>
      </c>
      <c r="B84" s="19">
        <v>44707</v>
      </c>
      <c r="C84" s="1" t="s">
        <v>338</v>
      </c>
      <c r="D84" s="1" t="s">
        <v>338</v>
      </c>
      <c r="E84" s="1" t="s">
        <v>339</v>
      </c>
      <c r="F84" s="1" t="s">
        <v>36</v>
      </c>
      <c r="G84" s="1">
        <v>36</v>
      </c>
      <c r="H84" s="17" t="s">
        <v>340</v>
      </c>
      <c r="I84" s="1" t="s">
        <v>37</v>
      </c>
      <c r="J84" s="1" t="s">
        <v>38</v>
      </c>
      <c r="K84" s="1">
        <v>55</v>
      </c>
      <c r="L84" s="1">
        <v>171</v>
      </c>
      <c r="M84" s="7">
        <f t="shared" si="2"/>
        <v>1.71</v>
      </c>
      <c r="N84" s="7">
        <f t="shared" si="3"/>
        <v>18.809206251496189</v>
      </c>
      <c r="O84" s="1" t="s">
        <v>39</v>
      </c>
      <c r="P84" s="1">
        <v>36.200000000000003</v>
      </c>
      <c r="Q84" s="1" t="s">
        <v>38</v>
      </c>
      <c r="R84" s="1" t="s">
        <v>114</v>
      </c>
      <c r="S84" s="1" t="s">
        <v>38</v>
      </c>
      <c r="T84" s="1" t="s">
        <v>51</v>
      </c>
      <c r="U84" s="1" t="s">
        <v>38</v>
      </c>
      <c r="V84" s="1" t="s">
        <v>51</v>
      </c>
      <c r="W84" s="1" t="s">
        <v>38</v>
      </c>
      <c r="X84" s="1" t="s">
        <v>52</v>
      </c>
      <c r="Y84" s="1" t="s">
        <v>41</v>
      </c>
      <c r="Z84" s="1"/>
      <c r="AA84" s="1" t="s">
        <v>41</v>
      </c>
      <c r="AB84" s="1"/>
      <c r="AC84" s="1" t="s">
        <v>41</v>
      </c>
      <c r="AD84" s="1"/>
      <c r="AE84" s="1" t="s">
        <v>41</v>
      </c>
      <c r="AF84" s="1"/>
      <c r="AG84" s="1" t="s">
        <v>38</v>
      </c>
      <c r="AH84" s="1" t="s">
        <v>41</v>
      </c>
      <c r="AI84" s="1" t="s">
        <v>41</v>
      </c>
      <c r="AJ84" s="1" t="s">
        <v>41</v>
      </c>
      <c r="AK84" s="1" t="s">
        <v>38</v>
      </c>
      <c r="AL84" s="1" t="s">
        <v>41</v>
      </c>
      <c r="AM84" s="1"/>
      <c r="AN84" s="1"/>
      <c r="AO84" s="1" t="s">
        <v>41</v>
      </c>
      <c r="AP84" s="50" t="s">
        <v>341</v>
      </c>
      <c r="AQ84" s="50" t="s">
        <v>72</v>
      </c>
      <c r="AR84" s="1">
        <v>2</v>
      </c>
      <c r="AS84" s="1"/>
      <c r="AT84" s="1">
        <v>2</v>
      </c>
      <c r="AU84" s="1"/>
      <c r="AV84" s="1" t="s">
        <v>58</v>
      </c>
    </row>
    <row r="85" spans="1:48" ht="15.75" customHeight="1" x14ac:dyDescent="0.3">
      <c r="A85" s="1">
        <v>87</v>
      </c>
      <c r="B85" s="19">
        <v>44711</v>
      </c>
      <c r="C85" s="1" t="s">
        <v>342</v>
      </c>
      <c r="D85" s="1" t="s">
        <v>342</v>
      </c>
      <c r="E85" s="1" t="s">
        <v>203</v>
      </c>
      <c r="F85" s="1" t="s">
        <v>36</v>
      </c>
      <c r="G85" s="1">
        <v>23</v>
      </c>
      <c r="H85" s="17" t="s">
        <v>343</v>
      </c>
      <c r="I85" s="1" t="s">
        <v>68</v>
      </c>
      <c r="J85" s="1"/>
      <c r="K85" s="1">
        <v>68</v>
      </c>
      <c r="L85" s="1">
        <v>164</v>
      </c>
      <c r="M85" s="7">
        <f t="shared" si="2"/>
        <v>1.64</v>
      </c>
      <c r="N85" s="7">
        <f t="shared" si="3"/>
        <v>25.282569898869724</v>
      </c>
      <c r="O85" s="1" t="s">
        <v>39</v>
      </c>
      <c r="P85" s="1">
        <v>36</v>
      </c>
      <c r="Q85" s="1" t="s">
        <v>38</v>
      </c>
      <c r="R85" s="1" t="s">
        <v>50</v>
      </c>
      <c r="S85" s="1" t="s">
        <v>38</v>
      </c>
      <c r="T85" s="1" t="s">
        <v>51</v>
      </c>
      <c r="U85" s="1" t="s">
        <v>38</v>
      </c>
      <c r="V85" s="1" t="s">
        <v>53</v>
      </c>
      <c r="W85" s="1" t="s">
        <v>41</v>
      </c>
      <c r="X85" s="1"/>
      <c r="Y85" s="1" t="s">
        <v>38</v>
      </c>
      <c r="Z85" s="1" t="s">
        <v>53</v>
      </c>
      <c r="AA85" s="1" t="s">
        <v>41</v>
      </c>
      <c r="AB85" s="1"/>
      <c r="AC85" s="1" t="s">
        <v>41</v>
      </c>
      <c r="AD85" s="1"/>
      <c r="AE85" s="1" t="s">
        <v>41</v>
      </c>
      <c r="AF85" s="1"/>
      <c r="AG85" s="1" t="s">
        <v>38</v>
      </c>
      <c r="AH85" s="1" t="s">
        <v>41</v>
      </c>
      <c r="AI85" s="1" t="s">
        <v>41</v>
      </c>
      <c r="AJ85" s="1" t="s">
        <v>41</v>
      </c>
      <c r="AK85" s="1" t="s">
        <v>41</v>
      </c>
      <c r="AL85" s="1" t="s">
        <v>41</v>
      </c>
      <c r="AM85" s="1"/>
      <c r="AN85" s="1"/>
      <c r="AO85" s="1" t="s">
        <v>41</v>
      </c>
      <c r="AP85" s="50" t="s">
        <v>344</v>
      </c>
      <c r="AQ85" s="50" t="s">
        <v>45</v>
      </c>
      <c r="AR85" s="1">
        <v>2</v>
      </c>
      <c r="AS85" s="1"/>
      <c r="AT85" s="1">
        <v>1</v>
      </c>
      <c r="AU85" s="1"/>
      <c r="AV85" s="1" t="s">
        <v>58</v>
      </c>
    </row>
    <row r="86" spans="1:48" ht="15.75" customHeight="1" x14ac:dyDescent="0.3">
      <c r="A86" s="1">
        <v>88</v>
      </c>
      <c r="B86" s="23">
        <v>44718</v>
      </c>
      <c r="C86" s="1" t="s">
        <v>345</v>
      </c>
      <c r="D86" s="1" t="s">
        <v>345</v>
      </c>
      <c r="E86" s="1" t="s">
        <v>224</v>
      </c>
      <c r="F86" s="1" t="s">
        <v>36</v>
      </c>
      <c r="G86" s="1">
        <v>28</v>
      </c>
      <c r="H86" s="17" t="s">
        <v>346</v>
      </c>
      <c r="I86" s="1" t="s">
        <v>68</v>
      </c>
      <c r="J86" s="1"/>
      <c r="K86" s="1">
        <v>52</v>
      </c>
      <c r="L86" s="1">
        <v>168</v>
      </c>
      <c r="M86" s="7">
        <f t="shared" si="2"/>
        <v>1.68</v>
      </c>
      <c r="N86" s="7">
        <f t="shared" si="3"/>
        <v>18.424036281179141</v>
      </c>
      <c r="O86" s="1" t="s">
        <v>39</v>
      </c>
      <c r="P86" s="1">
        <v>37</v>
      </c>
      <c r="Q86" s="1" t="s">
        <v>38</v>
      </c>
      <c r="R86" s="1" t="s">
        <v>110</v>
      </c>
      <c r="S86" s="1" t="s">
        <v>38</v>
      </c>
      <c r="T86" s="1" t="s">
        <v>43</v>
      </c>
      <c r="U86" s="1" t="s">
        <v>38</v>
      </c>
      <c r="V86" s="1" t="s">
        <v>43</v>
      </c>
      <c r="W86" s="1" t="s">
        <v>38</v>
      </c>
      <c r="X86" s="1" t="s">
        <v>53</v>
      </c>
      <c r="Y86" s="1" t="s">
        <v>38</v>
      </c>
      <c r="Z86" s="1" t="s">
        <v>43</v>
      </c>
      <c r="AA86" s="1" t="s">
        <v>38</v>
      </c>
      <c r="AB86" s="1" t="s">
        <v>43</v>
      </c>
      <c r="AC86" s="1" t="s">
        <v>41</v>
      </c>
      <c r="AD86" s="1"/>
      <c r="AE86" s="1" t="s">
        <v>41</v>
      </c>
      <c r="AF86" s="1"/>
      <c r="AG86" s="1" t="s">
        <v>38</v>
      </c>
      <c r="AH86" s="1" t="s">
        <v>41</v>
      </c>
      <c r="AI86" s="1" t="s">
        <v>41</v>
      </c>
      <c r="AJ86" s="1" t="s">
        <v>38</v>
      </c>
      <c r="AK86" s="1" t="s">
        <v>38</v>
      </c>
      <c r="AL86" s="1" t="s">
        <v>41</v>
      </c>
      <c r="AM86" s="1"/>
      <c r="AN86" s="1"/>
      <c r="AO86" s="1" t="s">
        <v>41</v>
      </c>
      <c r="AP86" s="50" t="s">
        <v>220</v>
      </c>
      <c r="AQ86" s="50" t="s">
        <v>99</v>
      </c>
      <c r="AR86" s="1">
        <v>3</v>
      </c>
      <c r="AS86" s="1"/>
      <c r="AT86" s="1">
        <v>2</v>
      </c>
      <c r="AU86" s="1"/>
      <c r="AV86" s="1" t="s">
        <v>58</v>
      </c>
    </row>
    <row r="87" spans="1:48" ht="15.75" customHeight="1" x14ac:dyDescent="0.3">
      <c r="A87" s="1">
        <v>89</v>
      </c>
      <c r="B87" s="24">
        <v>44718</v>
      </c>
      <c r="C87" s="1" t="s">
        <v>347</v>
      </c>
      <c r="D87" s="1" t="s">
        <v>347</v>
      </c>
      <c r="E87" s="1" t="s">
        <v>348</v>
      </c>
      <c r="F87" s="1" t="s">
        <v>36</v>
      </c>
      <c r="G87" s="1">
        <v>52</v>
      </c>
      <c r="H87" s="17" t="s">
        <v>349</v>
      </c>
      <c r="I87" s="1" t="s">
        <v>69</v>
      </c>
      <c r="J87" s="1"/>
      <c r="K87" s="1">
        <v>48</v>
      </c>
      <c r="L87" s="1" t="s">
        <v>69</v>
      </c>
      <c r="M87" s="7" t="e">
        <f t="shared" si="2"/>
        <v>#VALUE!</v>
      </c>
      <c r="N87" s="7" t="e">
        <f t="shared" si="3"/>
        <v>#VALUE!</v>
      </c>
      <c r="O87" s="1" t="s">
        <v>39</v>
      </c>
      <c r="P87" s="1" t="s">
        <v>69</v>
      </c>
      <c r="Q87" s="1" t="s">
        <v>38</v>
      </c>
      <c r="R87" s="1" t="s">
        <v>336</v>
      </c>
      <c r="S87" s="1" t="s">
        <v>41</v>
      </c>
      <c r="T87" s="1"/>
      <c r="U87" s="1" t="s">
        <v>38</v>
      </c>
      <c r="V87" s="1" t="s">
        <v>132</v>
      </c>
      <c r="W87" s="1" t="s">
        <v>38</v>
      </c>
      <c r="X87" s="1" t="s">
        <v>65</v>
      </c>
      <c r="Y87" s="1" t="s">
        <v>38</v>
      </c>
      <c r="Z87" s="1" t="s">
        <v>43</v>
      </c>
      <c r="AA87" s="1" t="s">
        <v>41</v>
      </c>
      <c r="AB87" s="1"/>
      <c r="AC87" s="1" t="s">
        <v>41</v>
      </c>
      <c r="AD87" s="1"/>
      <c r="AE87" s="1" t="s">
        <v>41</v>
      </c>
      <c r="AF87" s="1"/>
      <c r="AG87" s="1" t="s">
        <v>41</v>
      </c>
      <c r="AH87" s="1" t="s">
        <v>41</v>
      </c>
      <c r="AI87" s="1" t="s">
        <v>41</v>
      </c>
      <c r="AJ87" s="1" t="s">
        <v>41</v>
      </c>
      <c r="AK87" s="1" t="s">
        <v>41</v>
      </c>
      <c r="AL87" s="1" t="s">
        <v>38</v>
      </c>
      <c r="AM87" s="1">
        <v>2018</v>
      </c>
      <c r="AN87" s="1" t="s">
        <v>313</v>
      </c>
      <c r="AO87" s="1" t="s">
        <v>41</v>
      </c>
      <c r="AP87" s="50" t="s">
        <v>290</v>
      </c>
      <c r="AQ87" s="50" t="s">
        <v>72</v>
      </c>
      <c r="AR87" s="1">
        <v>3</v>
      </c>
      <c r="AS87" s="1"/>
      <c r="AT87" s="1">
        <v>1</v>
      </c>
      <c r="AU87" s="1"/>
      <c r="AV87" s="1" t="s">
        <v>58</v>
      </c>
    </row>
    <row r="88" spans="1:48" ht="15.75" customHeight="1" x14ac:dyDescent="0.3">
      <c r="A88" s="1">
        <v>90</v>
      </c>
      <c r="B88" s="1"/>
      <c r="C88" s="1" t="s">
        <v>350</v>
      </c>
      <c r="D88" s="1" t="s">
        <v>350</v>
      </c>
      <c r="E88" s="1" t="s">
        <v>339</v>
      </c>
      <c r="F88" s="1" t="s">
        <v>36</v>
      </c>
      <c r="G88" s="1">
        <v>35</v>
      </c>
      <c r="H88" s="17" t="s">
        <v>351</v>
      </c>
      <c r="I88" s="1" t="s">
        <v>68</v>
      </c>
      <c r="J88" s="1"/>
      <c r="K88" s="1" t="s">
        <v>69</v>
      </c>
      <c r="L88" s="1" t="s">
        <v>69</v>
      </c>
      <c r="M88" s="7" t="e">
        <f t="shared" si="2"/>
        <v>#VALUE!</v>
      </c>
      <c r="N88" s="7" t="e">
        <f t="shared" si="3"/>
        <v>#VALUE!</v>
      </c>
      <c r="O88" s="1" t="s">
        <v>39</v>
      </c>
      <c r="P88" s="1">
        <v>36.200000000000003</v>
      </c>
      <c r="Q88" s="1" t="s">
        <v>38</v>
      </c>
      <c r="R88" s="1" t="s">
        <v>110</v>
      </c>
      <c r="S88" s="1" t="s">
        <v>38</v>
      </c>
      <c r="T88" s="1" t="s">
        <v>110</v>
      </c>
      <c r="U88" s="1" t="s">
        <v>38</v>
      </c>
      <c r="V88" s="1" t="s">
        <v>110</v>
      </c>
      <c r="W88" s="1" t="s">
        <v>38</v>
      </c>
      <c r="X88" s="1" t="s">
        <v>51</v>
      </c>
      <c r="Y88" s="1" t="s">
        <v>38</v>
      </c>
      <c r="Z88" s="1" t="s">
        <v>43</v>
      </c>
      <c r="AA88" s="1" t="s">
        <v>38</v>
      </c>
      <c r="AB88" s="1" t="s">
        <v>43</v>
      </c>
      <c r="AC88" s="1" t="s">
        <v>41</v>
      </c>
      <c r="AD88" s="1"/>
      <c r="AE88" s="1" t="s">
        <v>41</v>
      </c>
      <c r="AF88" s="1"/>
      <c r="AG88" s="1" t="s">
        <v>41</v>
      </c>
      <c r="AH88" s="1" t="s">
        <v>41</v>
      </c>
      <c r="AI88" s="1" t="s">
        <v>41</v>
      </c>
      <c r="AJ88" s="1" t="s">
        <v>38</v>
      </c>
      <c r="AK88" s="1" t="s">
        <v>41</v>
      </c>
      <c r="AL88" s="1" t="s">
        <v>41</v>
      </c>
      <c r="AM88" s="1"/>
      <c r="AN88" s="1"/>
      <c r="AO88" s="1" t="s">
        <v>41</v>
      </c>
      <c r="AP88" s="50" t="s">
        <v>316</v>
      </c>
      <c r="AQ88" s="50" t="s">
        <v>172</v>
      </c>
      <c r="AR88" s="1">
        <v>3</v>
      </c>
      <c r="AS88" s="1"/>
      <c r="AT88" s="1">
        <v>2</v>
      </c>
      <c r="AU88" s="1"/>
      <c r="AV88" s="1" t="s">
        <v>58</v>
      </c>
    </row>
    <row r="89" spans="1:48" ht="15.75" customHeight="1" x14ac:dyDescent="0.3">
      <c r="A89" s="1">
        <v>91</v>
      </c>
      <c r="B89" s="19">
        <v>44949</v>
      </c>
      <c r="C89" s="1" t="s">
        <v>352</v>
      </c>
      <c r="D89" s="1" t="str">
        <f t="shared" ref="D89:D95" si="4">MID(C89, 4, LEN(C89)-3) &amp; "-" &amp; LEFT(C89, 3)</f>
        <v>MTI-P-040</v>
      </c>
      <c r="E89" s="1" t="s">
        <v>353</v>
      </c>
      <c r="F89" s="1" t="s">
        <v>36</v>
      </c>
      <c r="G89" s="1">
        <v>36</v>
      </c>
      <c r="H89" s="1"/>
      <c r="I89" s="1" t="s">
        <v>68</v>
      </c>
      <c r="J89" s="1"/>
      <c r="K89" s="1">
        <v>81</v>
      </c>
      <c r="L89" s="1">
        <v>182</v>
      </c>
      <c r="M89" s="7">
        <f t="shared" si="2"/>
        <v>1.82</v>
      </c>
      <c r="N89" s="7">
        <f t="shared" si="3"/>
        <v>24.453568409612362</v>
      </c>
      <c r="O89" s="1" t="s">
        <v>39</v>
      </c>
      <c r="P89" s="1">
        <v>38</v>
      </c>
      <c r="Q89" s="1" t="s">
        <v>38</v>
      </c>
      <c r="R89" s="1" t="s">
        <v>354</v>
      </c>
      <c r="S89" s="1" t="s">
        <v>38</v>
      </c>
      <c r="T89" s="1" t="s">
        <v>354</v>
      </c>
      <c r="U89" s="1" t="s">
        <v>38</v>
      </c>
      <c r="V89" s="1" t="s">
        <v>43</v>
      </c>
      <c r="W89" s="1" t="s">
        <v>38</v>
      </c>
      <c r="X89" s="1" t="s">
        <v>354</v>
      </c>
      <c r="Y89" s="1" t="s">
        <v>41</v>
      </c>
      <c r="Z89" s="1"/>
      <c r="AA89" s="1" t="s">
        <v>38</v>
      </c>
      <c r="AB89" s="1" t="s">
        <v>354</v>
      </c>
      <c r="AC89" s="1" t="s">
        <v>41</v>
      </c>
      <c r="AD89" s="1"/>
      <c r="AE89" s="1" t="s">
        <v>41</v>
      </c>
      <c r="AF89" s="1"/>
      <c r="AG89" s="1" t="s">
        <v>38</v>
      </c>
      <c r="AH89" s="1" t="s">
        <v>41</v>
      </c>
      <c r="AI89" s="1" t="s">
        <v>41</v>
      </c>
      <c r="AJ89" s="1" t="s">
        <v>38</v>
      </c>
      <c r="AK89" s="1" t="s">
        <v>41</v>
      </c>
      <c r="AL89" s="1" t="s">
        <v>41</v>
      </c>
      <c r="AM89" s="1"/>
      <c r="AN89" s="1"/>
      <c r="AO89" s="1" t="s">
        <v>41</v>
      </c>
      <c r="AP89" s="50" t="s">
        <v>94</v>
      </c>
      <c r="AQ89" s="50" t="s">
        <v>172</v>
      </c>
      <c r="AR89" s="1">
        <v>2</v>
      </c>
      <c r="AS89" s="1"/>
      <c r="AT89" s="1">
        <v>1</v>
      </c>
      <c r="AU89" s="1"/>
      <c r="AV89" s="1" t="s">
        <v>58</v>
      </c>
    </row>
    <row r="90" spans="1:48" ht="15.75" customHeight="1" x14ac:dyDescent="0.3">
      <c r="A90" s="1">
        <v>92</v>
      </c>
      <c r="B90" s="16">
        <v>44944</v>
      </c>
      <c r="C90" s="1" t="s">
        <v>355</v>
      </c>
      <c r="D90" s="1" t="str">
        <f t="shared" si="4"/>
        <v>MTI-P-039</v>
      </c>
      <c r="E90" s="1" t="s">
        <v>356</v>
      </c>
      <c r="F90" s="1" t="s">
        <v>36</v>
      </c>
      <c r="G90" s="1">
        <v>24</v>
      </c>
      <c r="H90" s="1"/>
      <c r="I90" s="1" t="s">
        <v>68</v>
      </c>
      <c r="J90" s="1"/>
      <c r="K90" s="1">
        <v>59</v>
      </c>
      <c r="L90" s="1">
        <v>170</v>
      </c>
      <c r="M90" s="7">
        <f t="shared" si="2"/>
        <v>1.7</v>
      </c>
      <c r="N90" s="7">
        <f t="shared" si="3"/>
        <v>20.415224913494811</v>
      </c>
      <c r="O90" s="1" t="s">
        <v>39</v>
      </c>
      <c r="P90" s="1">
        <v>36</v>
      </c>
      <c r="Q90" s="1" t="s">
        <v>38</v>
      </c>
      <c r="R90" s="1" t="s">
        <v>43</v>
      </c>
      <c r="S90" s="1" t="s">
        <v>38</v>
      </c>
      <c r="T90" s="1" t="s">
        <v>43</v>
      </c>
      <c r="U90" s="1" t="s">
        <v>38</v>
      </c>
      <c r="V90" s="1" t="s">
        <v>43</v>
      </c>
      <c r="W90" s="1" t="s">
        <v>38</v>
      </c>
      <c r="X90" s="1" t="s">
        <v>43</v>
      </c>
      <c r="Y90" s="1" t="s">
        <v>41</v>
      </c>
      <c r="Z90" s="1"/>
      <c r="AA90" s="1" t="s">
        <v>38</v>
      </c>
      <c r="AB90" s="1" t="s">
        <v>43</v>
      </c>
      <c r="AC90" s="1" t="s">
        <v>41</v>
      </c>
      <c r="AD90" s="1"/>
      <c r="AE90" s="1" t="s">
        <v>41</v>
      </c>
      <c r="AF90" s="1"/>
      <c r="AG90" s="1" t="s">
        <v>38</v>
      </c>
      <c r="AH90" s="1" t="s">
        <v>41</v>
      </c>
      <c r="AI90" s="1" t="s">
        <v>41</v>
      </c>
      <c r="AJ90" s="1" t="s">
        <v>41</v>
      </c>
      <c r="AK90" s="1" t="s">
        <v>41</v>
      </c>
      <c r="AL90" s="1" t="s">
        <v>41</v>
      </c>
      <c r="AM90" s="1"/>
      <c r="AN90" s="1"/>
      <c r="AO90" s="1" t="s">
        <v>41</v>
      </c>
      <c r="AP90" s="50" t="s">
        <v>105</v>
      </c>
      <c r="AQ90" s="50" t="s">
        <v>57</v>
      </c>
      <c r="AR90" s="1">
        <v>2</v>
      </c>
      <c r="AS90" s="1"/>
      <c r="AT90" s="1">
        <v>1</v>
      </c>
      <c r="AU90" s="1"/>
      <c r="AV90" s="1" t="s">
        <v>58</v>
      </c>
    </row>
    <row r="91" spans="1:48" ht="15.75" customHeight="1" x14ac:dyDescent="0.3">
      <c r="A91" s="1">
        <v>93</v>
      </c>
      <c r="B91" s="16">
        <v>44881</v>
      </c>
      <c r="C91" s="1" t="s">
        <v>357</v>
      </c>
      <c r="D91" s="1" t="str">
        <f t="shared" si="4"/>
        <v>MTI-P-038</v>
      </c>
      <c r="E91" s="1" t="s">
        <v>358</v>
      </c>
      <c r="F91" s="1" t="s">
        <v>36</v>
      </c>
      <c r="G91" s="1">
        <v>37</v>
      </c>
      <c r="H91" s="1"/>
      <c r="I91" s="1" t="s">
        <v>68</v>
      </c>
      <c r="J91" s="1"/>
      <c r="K91" s="1">
        <v>55</v>
      </c>
      <c r="L91" s="1">
        <v>175</v>
      </c>
      <c r="M91" s="7">
        <f t="shared" si="2"/>
        <v>1.75</v>
      </c>
      <c r="N91" s="7">
        <f t="shared" si="3"/>
        <v>17.959183673469386</v>
      </c>
      <c r="O91" s="1" t="s">
        <v>359</v>
      </c>
      <c r="P91" s="1">
        <v>36</v>
      </c>
      <c r="Q91" s="1" t="s">
        <v>38</v>
      </c>
      <c r="R91" s="1" t="s">
        <v>65</v>
      </c>
      <c r="S91" s="1" t="s">
        <v>38</v>
      </c>
      <c r="T91" s="1" t="s">
        <v>65</v>
      </c>
      <c r="U91" s="1" t="s">
        <v>38</v>
      </c>
      <c r="V91" s="1" t="s">
        <v>65</v>
      </c>
      <c r="W91" s="1" t="s">
        <v>38</v>
      </c>
      <c r="X91" s="1" t="s">
        <v>65</v>
      </c>
      <c r="Y91" s="1" t="s">
        <v>38</v>
      </c>
      <c r="Z91" s="1" t="s">
        <v>78</v>
      </c>
      <c r="AA91" s="1" t="s">
        <v>38</v>
      </c>
      <c r="AB91" s="1" t="s">
        <v>65</v>
      </c>
      <c r="AC91" s="1" t="s">
        <v>38</v>
      </c>
      <c r="AD91" s="1" t="s">
        <v>50</v>
      </c>
      <c r="AE91" s="1" t="s">
        <v>294</v>
      </c>
      <c r="AF91" s="1"/>
      <c r="AG91" s="1" t="s">
        <v>38</v>
      </c>
      <c r="AH91" s="1" t="s">
        <v>41</v>
      </c>
      <c r="AI91" s="1" t="s">
        <v>41</v>
      </c>
      <c r="AJ91" s="1" t="s">
        <v>38</v>
      </c>
      <c r="AK91" s="1" t="s">
        <v>41</v>
      </c>
      <c r="AL91" s="1" t="s">
        <v>41</v>
      </c>
      <c r="AM91" s="1"/>
      <c r="AN91" s="1"/>
      <c r="AO91" s="1" t="s">
        <v>41</v>
      </c>
      <c r="AP91" s="50" t="s">
        <v>240</v>
      </c>
      <c r="AQ91" s="50" t="s">
        <v>57</v>
      </c>
      <c r="AR91" s="1">
        <v>2</v>
      </c>
      <c r="AS91" s="1"/>
      <c r="AT91" s="1">
        <v>3</v>
      </c>
      <c r="AU91" s="1"/>
      <c r="AV91" s="1" t="s">
        <v>46</v>
      </c>
    </row>
    <row r="92" spans="1:48" ht="15.75" customHeight="1" x14ac:dyDescent="0.3">
      <c r="A92" s="1">
        <v>94</v>
      </c>
      <c r="B92" s="16">
        <v>44875</v>
      </c>
      <c r="C92" s="1" t="s">
        <v>360</v>
      </c>
      <c r="D92" s="1" t="str">
        <f t="shared" si="4"/>
        <v>MTI-P-037</v>
      </c>
      <c r="E92" s="1" t="s">
        <v>361</v>
      </c>
      <c r="F92" s="1" t="s">
        <v>36</v>
      </c>
      <c r="G92" s="1">
        <v>28</v>
      </c>
      <c r="H92" s="1"/>
      <c r="I92" s="1" t="s">
        <v>37</v>
      </c>
      <c r="J92" s="1" t="s">
        <v>38</v>
      </c>
      <c r="K92" s="1">
        <v>62</v>
      </c>
      <c r="L92" s="1">
        <v>168</v>
      </c>
      <c r="M92" s="7">
        <f t="shared" si="2"/>
        <v>1.68</v>
      </c>
      <c r="N92" s="7">
        <f t="shared" si="3"/>
        <v>21.9671201814059</v>
      </c>
      <c r="O92" s="1" t="s">
        <v>359</v>
      </c>
      <c r="P92" s="1">
        <v>37</v>
      </c>
      <c r="Q92" s="1" t="s">
        <v>38</v>
      </c>
      <c r="R92" s="1" t="s">
        <v>50</v>
      </c>
      <c r="S92" s="1" t="s">
        <v>38</v>
      </c>
      <c r="T92" s="1" t="s">
        <v>50</v>
      </c>
      <c r="U92" s="1" t="s">
        <v>38</v>
      </c>
      <c r="V92" s="1" t="s">
        <v>50</v>
      </c>
      <c r="W92" s="1" t="s">
        <v>38</v>
      </c>
      <c r="X92" s="1" t="s">
        <v>50</v>
      </c>
      <c r="Y92" s="1" t="s">
        <v>41</v>
      </c>
      <c r="Z92" s="1"/>
      <c r="AA92" s="1" t="s">
        <v>38</v>
      </c>
      <c r="AB92" s="1" t="s">
        <v>50</v>
      </c>
      <c r="AC92" s="1" t="s">
        <v>41</v>
      </c>
      <c r="AD92" s="1"/>
      <c r="AE92" s="1" t="s">
        <v>41</v>
      </c>
      <c r="AF92" s="1"/>
      <c r="AG92" s="1" t="s">
        <v>41</v>
      </c>
      <c r="AH92" s="1" t="s">
        <v>41</v>
      </c>
      <c r="AI92" s="1" t="s">
        <v>41</v>
      </c>
      <c r="AJ92" s="1" t="s">
        <v>41</v>
      </c>
      <c r="AK92" s="1" t="s">
        <v>38</v>
      </c>
      <c r="AL92" s="1" t="s">
        <v>41</v>
      </c>
      <c r="AM92" s="1"/>
      <c r="AN92" s="1"/>
      <c r="AO92" s="1" t="s">
        <v>41</v>
      </c>
      <c r="AP92" s="50" t="s">
        <v>295</v>
      </c>
      <c r="AQ92" s="50" t="s">
        <v>72</v>
      </c>
      <c r="AR92" s="1">
        <v>1</v>
      </c>
      <c r="AS92" s="1"/>
      <c r="AT92" s="1">
        <v>1</v>
      </c>
      <c r="AU92" s="1"/>
      <c r="AV92" s="1" t="s">
        <v>58</v>
      </c>
    </row>
    <row r="93" spans="1:48" ht="15.75" customHeight="1" x14ac:dyDescent="0.3">
      <c r="A93" s="1">
        <v>95</v>
      </c>
      <c r="B93" s="16">
        <v>44874</v>
      </c>
      <c r="C93" s="1" t="s">
        <v>362</v>
      </c>
      <c r="D93" s="1" t="str">
        <f t="shared" si="4"/>
        <v>MTI-P-036</v>
      </c>
      <c r="E93" s="1" t="s">
        <v>363</v>
      </c>
      <c r="F93" s="1" t="s">
        <v>36</v>
      </c>
      <c r="G93" s="1">
        <v>40</v>
      </c>
      <c r="H93" s="1"/>
      <c r="I93" s="1" t="s">
        <v>68</v>
      </c>
      <c r="J93" s="1"/>
      <c r="K93" s="1">
        <v>46</v>
      </c>
      <c r="L93" s="1">
        <v>156</v>
      </c>
      <c r="M93" s="7">
        <f t="shared" si="2"/>
        <v>1.56</v>
      </c>
      <c r="N93" s="7">
        <f t="shared" si="3"/>
        <v>18.902038132807363</v>
      </c>
      <c r="O93" s="1" t="s">
        <v>359</v>
      </c>
      <c r="P93" s="1">
        <v>38</v>
      </c>
      <c r="Q93" s="1" t="s">
        <v>38</v>
      </c>
      <c r="R93" s="1" t="s">
        <v>65</v>
      </c>
      <c r="S93" s="1" t="s">
        <v>38</v>
      </c>
      <c r="T93" s="1" t="s">
        <v>65</v>
      </c>
      <c r="U93" s="1" t="s">
        <v>38</v>
      </c>
      <c r="V93" s="1" t="s">
        <v>65</v>
      </c>
      <c r="W93" s="1" t="s">
        <v>38</v>
      </c>
      <c r="X93" s="1" t="s">
        <v>65</v>
      </c>
      <c r="Y93" s="1" t="s">
        <v>38</v>
      </c>
      <c r="Z93" s="1" t="s">
        <v>51</v>
      </c>
      <c r="AA93" s="1" t="s">
        <v>38</v>
      </c>
      <c r="AB93" s="1" t="s">
        <v>51</v>
      </c>
      <c r="AC93" s="1" t="s">
        <v>38</v>
      </c>
      <c r="AD93" s="1" t="s">
        <v>53</v>
      </c>
      <c r="AE93" s="1" t="s">
        <v>294</v>
      </c>
      <c r="AF93" s="1"/>
      <c r="AG93" s="1" t="s">
        <v>38</v>
      </c>
      <c r="AH93" s="1" t="s">
        <v>41</v>
      </c>
      <c r="AI93" s="1" t="s">
        <v>41</v>
      </c>
      <c r="AJ93" s="1" t="s">
        <v>41</v>
      </c>
      <c r="AK93" s="1" t="s">
        <v>41</v>
      </c>
      <c r="AL93" s="1" t="s">
        <v>41</v>
      </c>
      <c r="AM93" s="1"/>
      <c r="AN93" s="1"/>
      <c r="AO93" s="1" t="s">
        <v>41</v>
      </c>
      <c r="AP93" s="50" t="s">
        <v>364</v>
      </c>
      <c r="AQ93" s="50" t="s">
        <v>172</v>
      </c>
      <c r="AR93" s="1">
        <v>1</v>
      </c>
      <c r="AS93" s="1"/>
      <c r="AT93" s="1">
        <v>1</v>
      </c>
      <c r="AU93" s="1"/>
      <c r="AV93" s="1" t="s">
        <v>58</v>
      </c>
    </row>
    <row r="94" spans="1:48" ht="15.75" customHeight="1" x14ac:dyDescent="0.3">
      <c r="A94" s="1">
        <v>96</v>
      </c>
      <c r="B94" s="16">
        <v>44873</v>
      </c>
      <c r="C94" s="1" t="s">
        <v>365</v>
      </c>
      <c r="D94" s="1" t="str">
        <f t="shared" si="4"/>
        <v>MTI-P-035</v>
      </c>
      <c r="E94" s="1" t="s">
        <v>366</v>
      </c>
      <c r="F94" s="1" t="s">
        <v>36</v>
      </c>
      <c r="G94" s="1">
        <v>78</v>
      </c>
      <c r="H94" s="1"/>
      <c r="I94" s="1" t="s">
        <v>68</v>
      </c>
      <c r="J94" s="1"/>
      <c r="K94" s="1">
        <v>45</v>
      </c>
      <c r="L94" s="1">
        <v>163</v>
      </c>
      <c r="M94" s="7">
        <f t="shared" si="2"/>
        <v>1.63</v>
      </c>
      <c r="N94" s="7">
        <f t="shared" si="3"/>
        <v>16.937031879257784</v>
      </c>
      <c r="O94" s="1" t="s">
        <v>359</v>
      </c>
      <c r="P94" s="1">
        <v>37</v>
      </c>
      <c r="Q94" s="1" t="s">
        <v>38</v>
      </c>
      <c r="R94" s="1" t="s">
        <v>150</v>
      </c>
      <c r="S94" s="1" t="s">
        <v>38</v>
      </c>
      <c r="T94" s="1" t="s">
        <v>150</v>
      </c>
      <c r="U94" s="1" t="s">
        <v>38</v>
      </c>
      <c r="V94" s="1" t="s">
        <v>150</v>
      </c>
      <c r="W94" s="1" t="s">
        <v>38</v>
      </c>
      <c r="X94" s="1" t="s">
        <v>150</v>
      </c>
      <c r="Y94" s="1" t="s">
        <v>41</v>
      </c>
      <c r="Z94" s="1"/>
      <c r="AA94" s="1" t="s">
        <v>38</v>
      </c>
      <c r="AB94" s="1" t="s">
        <v>150</v>
      </c>
      <c r="AC94" s="1" t="s">
        <v>41</v>
      </c>
      <c r="AD94" s="1"/>
      <c r="AE94" s="1" t="s">
        <v>41</v>
      </c>
      <c r="AF94" s="1"/>
      <c r="AG94" s="1" t="s">
        <v>38</v>
      </c>
      <c r="AH94" s="1" t="s">
        <v>41</v>
      </c>
      <c r="AI94" s="1" t="s">
        <v>41</v>
      </c>
      <c r="AJ94" s="1" t="s">
        <v>41</v>
      </c>
      <c r="AK94" s="1" t="s">
        <v>41</v>
      </c>
      <c r="AL94" s="1" t="s">
        <v>41</v>
      </c>
      <c r="AM94" s="1"/>
      <c r="AN94" s="1"/>
      <c r="AO94" s="1" t="s">
        <v>41</v>
      </c>
      <c r="AP94" s="50" t="s">
        <v>69</v>
      </c>
      <c r="AQ94" s="50" t="s">
        <v>57</v>
      </c>
      <c r="AR94" s="1">
        <v>2</v>
      </c>
      <c r="AS94" s="1"/>
      <c r="AT94" s="1">
        <v>4</v>
      </c>
      <c r="AU94" s="1"/>
      <c r="AV94" s="1" t="s">
        <v>46</v>
      </c>
    </row>
    <row r="95" spans="1:48" ht="15.75" customHeight="1" x14ac:dyDescent="0.3">
      <c r="A95" s="1">
        <v>97</v>
      </c>
      <c r="B95" s="25">
        <v>44859</v>
      </c>
      <c r="C95" s="1" t="s">
        <v>367</v>
      </c>
      <c r="D95" s="1" t="str">
        <f t="shared" si="4"/>
        <v>MTI-P-034</v>
      </c>
      <c r="E95" s="1" t="s">
        <v>368</v>
      </c>
      <c r="F95" s="1" t="s">
        <v>36</v>
      </c>
      <c r="G95" s="1">
        <v>44</v>
      </c>
      <c r="H95" s="1"/>
      <c r="I95" s="1" t="s">
        <v>68</v>
      </c>
      <c r="J95" s="1"/>
      <c r="K95" s="1">
        <v>44</v>
      </c>
      <c r="L95" s="1">
        <v>166</v>
      </c>
      <c r="M95" s="7">
        <f t="shared" si="2"/>
        <v>1.66</v>
      </c>
      <c r="N95" s="7">
        <f t="shared" si="3"/>
        <v>15.967484395412978</v>
      </c>
      <c r="O95" s="1" t="s">
        <v>359</v>
      </c>
      <c r="P95" s="1">
        <v>38</v>
      </c>
      <c r="Q95" s="1" t="s">
        <v>38</v>
      </c>
      <c r="R95" s="1" t="s">
        <v>65</v>
      </c>
      <c r="S95" s="1" t="s">
        <v>38</v>
      </c>
      <c r="T95" s="1" t="s">
        <v>65</v>
      </c>
      <c r="U95" s="1" t="s">
        <v>38</v>
      </c>
      <c r="V95" s="1" t="s">
        <v>65</v>
      </c>
      <c r="W95" s="1" t="s">
        <v>38</v>
      </c>
      <c r="X95" s="1" t="s">
        <v>65</v>
      </c>
      <c r="Y95" s="1" t="s">
        <v>41</v>
      </c>
      <c r="Z95" s="1"/>
      <c r="AA95" s="1" t="s">
        <v>38</v>
      </c>
      <c r="AB95" s="1" t="s">
        <v>65</v>
      </c>
      <c r="AC95" s="1" t="s">
        <v>41</v>
      </c>
      <c r="AD95" s="1"/>
      <c r="AE95" s="1" t="s">
        <v>41</v>
      </c>
      <c r="AF95" s="1"/>
      <c r="AG95" s="1" t="s">
        <v>38</v>
      </c>
      <c r="AH95" s="1" t="s">
        <v>41</v>
      </c>
      <c r="AI95" s="1" t="s">
        <v>41</v>
      </c>
      <c r="AJ95" s="1" t="s">
        <v>41</v>
      </c>
      <c r="AK95" s="1" t="s">
        <v>41</v>
      </c>
      <c r="AL95" s="1" t="s">
        <v>41</v>
      </c>
      <c r="AM95" s="1"/>
      <c r="AN95" s="1"/>
      <c r="AO95" s="1" t="s">
        <v>41</v>
      </c>
      <c r="AP95" s="50" t="s">
        <v>69</v>
      </c>
      <c r="AQ95" s="50" t="s">
        <v>72</v>
      </c>
      <c r="AR95" s="1">
        <v>1</v>
      </c>
      <c r="AS95" s="1"/>
      <c r="AT95" s="1">
        <v>1</v>
      </c>
      <c r="AU95" s="1"/>
      <c r="AV95" s="1" t="s">
        <v>46</v>
      </c>
    </row>
    <row r="96" spans="1:48" ht="15.75" customHeight="1" x14ac:dyDescent="0.3">
      <c r="A96" s="1">
        <v>39</v>
      </c>
      <c r="B96" s="6">
        <v>44601</v>
      </c>
      <c r="C96" s="1" t="s">
        <v>181</v>
      </c>
      <c r="D96" s="1" t="s">
        <v>181</v>
      </c>
      <c r="E96" s="1" t="s">
        <v>76</v>
      </c>
      <c r="F96" s="1" t="s">
        <v>36</v>
      </c>
      <c r="G96" s="1">
        <v>22</v>
      </c>
      <c r="H96" s="1"/>
      <c r="I96" s="1" t="s">
        <v>68</v>
      </c>
      <c r="J96" s="1"/>
      <c r="K96" s="1">
        <v>60</v>
      </c>
      <c r="L96" s="1">
        <v>122</v>
      </c>
      <c r="M96" s="7">
        <f t="shared" si="2"/>
        <v>1.22</v>
      </c>
      <c r="N96" s="7">
        <f t="shared" si="3"/>
        <v>40.311744154797097</v>
      </c>
      <c r="O96" s="1" t="s">
        <v>182</v>
      </c>
      <c r="P96" s="1">
        <v>36.299999999999997</v>
      </c>
      <c r="Q96" s="1" t="s">
        <v>38</v>
      </c>
      <c r="R96" s="1" t="s">
        <v>183</v>
      </c>
      <c r="S96" s="1" t="s">
        <v>38</v>
      </c>
      <c r="T96" s="1" t="s">
        <v>184</v>
      </c>
      <c r="U96" s="1" t="s">
        <v>38</v>
      </c>
      <c r="V96" s="1" t="s">
        <v>185</v>
      </c>
      <c r="W96" s="1" t="s">
        <v>38</v>
      </c>
      <c r="X96" s="1" t="s">
        <v>184</v>
      </c>
      <c r="Y96" s="1" t="s">
        <v>41</v>
      </c>
      <c r="Z96" s="1"/>
      <c r="AA96" s="1" t="s">
        <v>41</v>
      </c>
      <c r="AB96" s="1"/>
      <c r="AC96" s="1" t="s">
        <v>41</v>
      </c>
      <c r="AD96" s="1"/>
      <c r="AE96" s="1"/>
      <c r="AF96" s="1"/>
      <c r="AG96" s="1" t="s">
        <v>38</v>
      </c>
      <c r="AH96" s="1" t="s">
        <v>38</v>
      </c>
      <c r="AI96" s="1" t="s">
        <v>41</v>
      </c>
      <c r="AJ96" s="1" t="s">
        <v>41</v>
      </c>
      <c r="AK96" s="1"/>
      <c r="AL96" s="1" t="s">
        <v>41</v>
      </c>
      <c r="AM96" s="1"/>
      <c r="AN96" s="1"/>
      <c r="AO96" s="1"/>
      <c r="AP96" s="50" t="s">
        <v>79</v>
      </c>
      <c r="AQ96" s="50" t="s">
        <v>57</v>
      </c>
      <c r="AR96" s="1">
        <v>3</v>
      </c>
      <c r="AS96" s="1"/>
      <c r="AT96" s="1">
        <v>1</v>
      </c>
      <c r="AU96" s="1"/>
      <c r="AV96" s="1" t="s">
        <v>58</v>
      </c>
    </row>
    <row r="97" spans="1:48" ht="15.75" customHeight="1" x14ac:dyDescent="0.3">
      <c r="A97" s="1">
        <v>101</v>
      </c>
      <c r="B97" s="19">
        <v>44851</v>
      </c>
      <c r="C97" s="1" t="s">
        <v>373</v>
      </c>
      <c r="D97" s="1" t="str">
        <f t="shared" ref="D97:D127" si="5">MID(C97, 4, LEN(C97)-3) &amp; "-" &amp; LEFT(C97, 3)</f>
        <v>MTI-P-032</v>
      </c>
      <c r="E97" s="1" t="s">
        <v>375</v>
      </c>
      <c r="F97" s="1" t="s">
        <v>36</v>
      </c>
      <c r="G97" s="1">
        <v>25</v>
      </c>
      <c r="H97" s="1"/>
      <c r="I97" s="1" t="s">
        <v>68</v>
      </c>
      <c r="J97" s="1"/>
      <c r="K97" s="1">
        <v>45</v>
      </c>
      <c r="L97" s="1">
        <v>159</v>
      </c>
      <c r="M97" s="7">
        <f t="shared" si="2"/>
        <v>1.59</v>
      </c>
      <c r="N97" s="7">
        <f t="shared" si="3"/>
        <v>17.799928800284796</v>
      </c>
      <c r="O97" s="1" t="s">
        <v>359</v>
      </c>
      <c r="P97" s="1">
        <v>36</v>
      </c>
      <c r="Q97" s="1" t="s">
        <v>38</v>
      </c>
      <c r="R97" s="1" t="s">
        <v>114</v>
      </c>
      <c r="S97" s="1" t="s">
        <v>38</v>
      </c>
      <c r="T97" s="1" t="s">
        <v>114</v>
      </c>
      <c r="U97" s="1" t="s">
        <v>38</v>
      </c>
      <c r="V97" s="1" t="s">
        <v>114</v>
      </c>
      <c r="W97" s="1" t="s">
        <v>38</v>
      </c>
      <c r="X97" s="1" t="s">
        <v>114</v>
      </c>
      <c r="Y97" s="1" t="s">
        <v>41</v>
      </c>
      <c r="Z97" s="1"/>
      <c r="AA97" s="1" t="s">
        <v>38</v>
      </c>
      <c r="AB97" s="1" t="s">
        <v>114</v>
      </c>
      <c r="AC97" s="1" t="s">
        <v>41</v>
      </c>
      <c r="AD97" s="1"/>
      <c r="AE97" s="1" t="s">
        <v>41</v>
      </c>
      <c r="AF97" s="1"/>
      <c r="AG97" s="1" t="s">
        <v>38</v>
      </c>
      <c r="AH97" s="1" t="s">
        <v>41</v>
      </c>
      <c r="AI97" s="1" t="s">
        <v>41</v>
      </c>
      <c r="AJ97" s="1" t="s">
        <v>41</v>
      </c>
      <c r="AK97" s="1" t="s">
        <v>38</v>
      </c>
      <c r="AL97" s="1" t="s">
        <v>41</v>
      </c>
      <c r="AM97" s="1"/>
      <c r="AN97" s="1"/>
      <c r="AO97" s="1" t="s">
        <v>41</v>
      </c>
      <c r="AP97" s="50" t="s">
        <v>374</v>
      </c>
      <c r="AQ97" s="50" t="s">
        <v>72</v>
      </c>
      <c r="AR97" s="1">
        <v>1</v>
      </c>
      <c r="AS97" s="1"/>
      <c r="AT97" s="1">
        <v>1</v>
      </c>
      <c r="AU97" s="1"/>
      <c r="AV97" s="1" t="s">
        <v>46</v>
      </c>
    </row>
    <row r="98" spans="1:48" ht="15.75" customHeight="1" x14ac:dyDescent="0.3">
      <c r="A98" s="1">
        <v>102</v>
      </c>
      <c r="B98" s="16">
        <v>44845</v>
      </c>
      <c r="C98" s="1" t="s">
        <v>376</v>
      </c>
      <c r="D98" s="1" t="str">
        <f t="shared" si="5"/>
        <v>MTI-P-031</v>
      </c>
      <c r="E98" s="1" t="s">
        <v>377</v>
      </c>
      <c r="F98" s="1" t="s">
        <v>36</v>
      </c>
      <c r="G98" s="1">
        <v>36</v>
      </c>
      <c r="H98" s="1"/>
      <c r="I98" s="1" t="s">
        <v>68</v>
      </c>
      <c r="J98" s="1"/>
      <c r="K98" s="1">
        <v>57</v>
      </c>
      <c r="L98" s="1">
        <v>176</v>
      </c>
      <c r="M98" s="7">
        <f t="shared" si="2"/>
        <v>1.76</v>
      </c>
      <c r="N98" s="7">
        <f t="shared" si="3"/>
        <v>18.401342975206614</v>
      </c>
      <c r="O98" s="1" t="s">
        <v>359</v>
      </c>
      <c r="P98" s="1">
        <v>36</v>
      </c>
      <c r="Q98" s="1" t="s">
        <v>38</v>
      </c>
      <c r="R98" s="1" t="s">
        <v>378</v>
      </c>
      <c r="S98" s="1" t="s">
        <v>38</v>
      </c>
      <c r="T98" s="1" t="s">
        <v>378</v>
      </c>
      <c r="U98" s="1" t="s">
        <v>38</v>
      </c>
      <c r="V98" s="1" t="s">
        <v>378</v>
      </c>
      <c r="W98" s="1" t="s">
        <v>38</v>
      </c>
      <c r="X98" s="1" t="s">
        <v>378</v>
      </c>
      <c r="Y98" s="1" t="s">
        <v>41</v>
      </c>
      <c r="Z98" s="1"/>
      <c r="AA98" s="1" t="s">
        <v>38</v>
      </c>
      <c r="AB98" s="1" t="s">
        <v>378</v>
      </c>
      <c r="AC98" s="1" t="s">
        <v>41</v>
      </c>
      <c r="AD98" s="1"/>
      <c r="AE98" s="1" t="s">
        <v>371</v>
      </c>
      <c r="AF98" s="1" t="s">
        <v>378</v>
      </c>
      <c r="AG98" s="1" t="s">
        <v>38</v>
      </c>
      <c r="AH98" s="1" t="s">
        <v>41</v>
      </c>
      <c r="AI98" s="1" t="s">
        <v>41</v>
      </c>
      <c r="AJ98" s="1" t="s">
        <v>41</v>
      </c>
      <c r="AK98" s="1" t="s">
        <v>38</v>
      </c>
      <c r="AL98" s="1" t="s">
        <v>41</v>
      </c>
      <c r="AM98" s="1"/>
      <c r="AN98" s="1"/>
      <c r="AO98" s="1" t="s">
        <v>41</v>
      </c>
      <c r="AP98" s="50" t="s">
        <v>214</v>
      </c>
      <c r="AQ98" s="50" t="s">
        <v>99</v>
      </c>
      <c r="AR98" s="1">
        <v>3</v>
      </c>
      <c r="AS98" s="1"/>
      <c r="AT98" s="1">
        <v>1</v>
      </c>
      <c r="AU98" s="1"/>
      <c r="AV98" s="1" t="s">
        <v>58</v>
      </c>
    </row>
    <row r="99" spans="1:48" ht="15.75" customHeight="1" x14ac:dyDescent="0.3">
      <c r="A99" s="1">
        <v>103</v>
      </c>
      <c r="B99" s="16">
        <v>44844</v>
      </c>
      <c r="C99" s="1" t="s">
        <v>379</v>
      </c>
      <c r="D99" s="1" t="str">
        <f t="shared" si="5"/>
        <v>MTI-P-030</v>
      </c>
      <c r="E99" s="1" t="s">
        <v>380</v>
      </c>
      <c r="F99" s="1" t="s">
        <v>36</v>
      </c>
      <c r="G99" s="1">
        <v>19</v>
      </c>
      <c r="H99" s="1"/>
      <c r="I99" s="1" t="s">
        <v>68</v>
      </c>
      <c r="J99" s="1"/>
      <c r="K99" s="1">
        <v>53</v>
      </c>
      <c r="L99" s="1">
        <v>169</v>
      </c>
      <c r="M99" s="7">
        <f t="shared" si="2"/>
        <v>1.69</v>
      </c>
      <c r="N99" s="7">
        <f t="shared" si="3"/>
        <v>18.556773222226116</v>
      </c>
      <c r="O99" s="1" t="s">
        <v>359</v>
      </c>
      <c r="P99" s="1">
        <v>37</v>
      </c>
      <c r="Q99" s="1" t="s">
        <v>38</v>
      </c>
      <c r="R99" s="1" t="s">
        <v>43</v>
      </c>
      <c r="S99" s="1" t="s">
        <v>38</v>
      </c>
      <c r="T99" s="1" t="s">
        <v>43</v>
      </c>
      <c r="U99" s="1" t="s">
        <v>41</v>
      </c>
      <c r="V99" s="1"/>
      <c r="W99" s="1" t="s">
        <v>104</v>
      </c>
      <c r="X99" s="1" t="s">
        <v>43</v>
      </c>
      <c r="Y99" s="1" t="s">
        <v>41</v>
      </c>
      <c r="Z99" s="1"/>
      <c r="AA99" s="1" t="s">
        <v>41</v>
      </c>
      <c r="AB99" s="1"/>
      <c r="AC99" s="1" t="s">
        <v>41</v>
      </c>
      <c r="AD99" s="1"/>
      <c r="AE99" s="1" t="s">
        <v>381</v>
      </c>
      <c r="AF99" s="1" t="s">
        <v>43</v>
      </c>
      <c r="AG99" s="1" t="s">
        <v>38</v>
      </c>
      <c r="AH99" s="1" t="s">
        <v>41</v>
      </c>
      <c r="AI99" s="1" t="s">
        <v>41</v>
      </c>
      <c r="AJ99" s="1" t="s">
        <v>41</v>
      </c>
      <c r="AK99" s="1" t="s">
        <v>41</v>
      </c>
      <c r="AL99" s="1" t="s">
        <v>41</v>
      </c>
      <c r="AM99" s="1"/>
      <c r="AN99" s="1"/>
      <c r="AO99" s="1" t="s">
        <v>41</v>
      </c>
      <c r="AP99" s="50" t="s">
        <v>79</v>
      </c>
      <c r="AQ99" s="50" t="s">
        <v>72</v>
      </c>
      <c r="AR99" s="1">
        <v>2</v>
      </c>
      <c r="AS99" s="1"/>
      <c r="AT99" s="1">
        <v>1</v>
      </c>
      <c r="AU99" s="1"/>
      <c r="AV99" s="1" t="s">
        <v>58</v>
      </c>
    </row>
    <row r="100" spans="1:48" ht="15.75" customHeight="1" x14ac:dyDescent="0.3">
      <c r="A100" s="1">
        <v>104</v>
      </c>
      <c r="B100" s="19">
        <v>44832</v>
      </c>
      <c r="C100" s="1" t="s">
        <v>382</v>
      </c>
      <c r="D100" s="1" t="str">
        <f t="shared" si="5"/>
        <v>MTI-P-029</v>
      </c>
      <c r="E100" s="1" t="s">
        <v>383</v>
      </c>
      <c r="F100" s="1" t="s">
        <v>36</v>
      </c>
      <c r="G100" s="1">
        <v>26</v>
      </c>
      <c r="H100" s="1"/>
      <c r="I100" s="1" t="s">
        <v>68</v>
      </c>
      <c r="J100" s="1"/>
      <c r="K100" s="1">
        <v>61</v>
      </c>
      <c r="L100" s="1">
        <v>172</v>
      </c>
      <c r="M100" s="7">
        <f t="shared" si="2"/>
        <v>1.72</v>
      </c>
      <c r="N100" s="7">
        <f t="shared" si="3"/>
        <v>20.61925365062196</v>
      </c>
      <c r="O100" s="1" t="s">
        <v>359</v>
      </c>
      <c r="P100" s="1">
        <v>39</v>
      </c>
      <c r="Q100" s="1" t="s">
        <v>38</v>
      </c>
      <c r="R100" s="1" t="s">
        <v>50</v>
      </c>
      <c r="S100" s="1" t="s">
        <v>38</v>
      </c>
      <c r="T100" s="1" t="s">
        <v>50</v>
      </c>
      <c r="U100" s="1" t="s">
        <v>38</v>
      </c>
      <c r="V100" s="1" t="s">
        <v>50</v>
      </c>
      <c r="W100" s="1" t="s">
        <v>38</v>
      </c>
      <c r="X100" s="1" t="s">
        <v>50</v>
      </c>
      <c r="Y100" s="1" t="s">
        <v>38</v>
      </c>
      <c r="Z100" s="1" t="s">
        <v>50</v>
      </c>
      <c r="AA100" s="1" t="s">
        <v>38</v>
      </c>
      <c r="AB100" s="1" t="s">
        <v>50</v>
      </c>
      <c r="AC100" s="1" t="s">
        <v>41</v>
      </c>
      <c r="AD100" s="1"/>
      <c r="AE100" s="1" t="s">
        <v>41</v>
      </c>
      <c r="AF100" s="1"/>
      <c r="AG100" s="1" t="s">
        <v>38</v>
      </c>
      <c r="AH100" s="1" t="s">
        <v>41</v>
      </c>
      <c r="AI100" s="1" t="s">
        <v>41</v>
      </c>
      <c r="AJ100" s="1" t="s">
        <v>41</v>
      </c>
      <c r="AK100" s="1" t="s">
        <v>41</v>
      </c>
      <c r="AL100" s="1" t="s">
        <v>41</v>
      </c>
      <c r="AM100" s="1"/>
      <c r="AN100" s="1"/>
      <c r="AO100" s="1" t="s">
        <v>41</v>
      </c>
      <c r="AP100" s="50" t="s">
        <v>384</v>
      </c>
      <c r="AQ100" s="50" t="s">
        <v>72</v>
      </c>
      <c r="AR100" s="1">
        <v>4</v>
      </c>
      <c r="AS100" s="1"/>
      <c r="AT100" s="1">
        <v>1</v>
      </c>
      <c r="AU100" s="1"/>
      <c r="AV100" s="1" t="s">
        <v>46</v>
      </c>
    </row>
    <row r="101" spans="1:48" ht="15.75" customHeight="1" x14ac:dyDescent="0.3">
      <c r="A101" s="1">
        <v>105</v>
      </c>
      <c r="B101" s="19">
        <v>44809</v>
      </c>
      <c r="C101" s="1" t="s">
        <v>385</v>
      </c>
      <c r="D101" s="1" t="str">
        <f t="shared" si="5"/>
        <v>MTI-P-028</v>
      </c>
      <c r="E101" s="1" t="s">
        <v>386</v>
      </c>
      <c r="F101" s="1" t="s">
        <v>36</v>
      </c>
      <c r="G101" s="1">
        <v>29</v>
      </c>
      <c r="H101" s="1"/>
      <c r="I101" s="1" t="s">
        <v>68</v>
      </c>
      <c r="J101" s="1"/>
      <c r="K101" s="1">
        <v>62</v>
      </c>
      <c r="L101" s="1">
        <v>186</v>
      </c>
      <c r="M101" s="7">
        <f t="shared" si="2"/>
        <v>1.86</v>
      </c>
      <c r="N101" s="7">
        <f t="shared" si="3"/>
        <v>17.921146953405014</v>
      </c>
      <c r="O101" s="1" t="s">
        <v>359</v>
      </c>
      <c r="P101" s="1">
        <v>37</v>
      </c>
      <c r="Q101" s="1" t="s">
        <v>38</v>
      </c>
      <c r="R101" s="1" t="s">
        <v>387</v>
      </c>
      <c r="S101" s="1" t="s">
        <v>38</v>
      </c>
      <c r="T101" s="1" t="s">
        <v>387</v>
      </c>
      <c r="U101" s="1" t="s">
        <v>38</v>
      </c>
      <c r="V101" s="1" t="s">
        <v>387</v>
      </c>
      <c r="W101" s="1" t="s">
        <v>38</v>
      </c>
      <c r="X101" s="1" t="s">
        <v>387</v>
      </c>
      <c r="Y101" s="1" t="s">
        <v>41</v>
      </c>
      <c r="Z101" s="1"/>
      <c r="AA101" s="1" t="s">
        <v>38</v>
      </c>
      <c r="AB101" s="1" t="s">
        <v>387</v>
      </c>
      <c r="AC101" s="1" t="s">
        <v>38</v>
      </c>
      <c r="AD101" s="1" t="s">
        <v>388</v>
      </c>
      <c r="AE101" s="1" t="s">
        <v>41</v>
      </c>
      <c r="AF101" s="1"/>
      <c r="AG101" s="1" t="s">
        <v>38</v>
      </c>
      <c r="AH101" s="1" t="s">
        <v>41</v>
      </c>
      <c r="AI101" s="1" t="s">
        <v>41</v>
      </c>
      <c r="AJ101" s="1" t="s">
        <v>41</v>
      </c>
      <c r="AK101" s="1" t="s">
        <v>38</v>
      </c>
      <c r="AL101" s="1" t="s">
        <v>41</v>
      </c>
      <c r="AM101" s="1"/>
      <c r="AN101" s="1"/>
      <c r="AO101" s="1" t="s">
        <v>41</v>
      </c>
      <c r="AP101" s="50" t="s">
        <v>344</v>
      </c>
      <c r="AQ101" s="50" t="s">
        <v>61</v>
      </c>
      <c r="AR101" s="1">
        <v>1</v>
      </c>
      <c r="AS101" s="1"/>
      <c r="AT101" s="1">
        <v>2</v>
      </c>
      <c r="AU101" s="1"/>
      <c r="AV101" s="1" t="s">
        <v>58</v>
      </c>
    </row>
    <row r="102" spans="1:48" ht="15.75" customHeight="1" x14ac:dyDescent="0.3">
      <c r="A102" s="1">
        <v>107</v>
      </c>
      <c r="B102" s="16">
        <v>44804</v>
      </c>
      <c r="C102" s="1" t="s">
        <v>389</v>
      </c>
      <c r="D102" s="1" t="str">
        <f t="shared" si="5"/>
        <v>MTI-P-027</v>
      </c>
      <c r="E102" s="1" t="s">
        <v>390</v>
      </c>
      <c r="F102" s="1" t="s">
        <v>36</v>
      </c>
      <c r="G102" s="1">
        <v>44</v>
      </c>
      <c r="H102" s="1"/>
      <c r="I102" s="1" t="s">
        <v>37</v>
      </c>
      <c r="J102" s="1" t="s">
        <v>38</v>
      </c>
      <c r="K102" s="1">
        <v>45</v>
      </c>
      <c r="L102" s="1">
        <v>145</v>
      </c>
      <c r="M102" s="7">
        <f t="shared" si="2"/>
        <v>1.45</v>
      </c>
      <c r="N102" s="7">
        <f t="shared" si="3"/>
        <v>21.403091557669441</v>
      </c>
      <c r="O102" s="1" t="s">
        <v>359</v>
      </c>
      <c r="P102" s="1">
        <v>38</v>
      </c>
      <c r="Q102" s="1" t="s">
        <v>38</v>
      </c>
      <c r="R102" s="1" t="s">
        <v>43</v>
      </c>
      <c r="S102" s="1" t="s">
        <v>38</v>
      </c>
      <c r="T102" s="1" t="s">
        <v>43</v>
      </c>
      <c r="U102" s="1" t="s">
        <v>38</v>
      </c>
      <c r="V102" s="1" t="s">
        <v>65</v>
      </c>
      <c r="W102" s="1" t="s">
        <v>38</v>
      </c>
      <c r="X102" s="1" t="s">
        <v>43</v>
      </c>
      <c r="Y102" s="1" t="s">
        <v>38</v>
      </c>
      <c r="Z102" s="1" t="s">
        <v>43</v>
      </c>
      <c r="AA102" s="1" t="s">
        <v>38</v>
      </c>
      <c r="AB102" s="1" t="s">
        <v>82</v>
      </c>
      <c r="AC102" s="1" t="s">
        <v>41</v>
      </c>
      <c r="AD102" s="1"/>
      <c r="AE102" s="1" t="s">
        <v>41</v>
      </c>
      <c r="AF102" s="1"/>
      <c r="AG102" s="1" t="s">
        <v>38</v>
      </c>
      <c r="AH102" s="1" t="s">
        <v>41</v>
      </c>
      <c r="AI102" s="1" t="s">
        <v>41</v>
      </c>
      <c r="AJ102" s="1" t="s">
        <v>41</v>
      </c>
      <c r="AK102" s="1" t="s">
        <v>38</v>
      </c>
      <c r="AL102" s="1" t="s">
        <v>41</v>
      </c>
      <c r="AM102" s="1"/>
      <c r="AN102" s="1"/>
      <c r="AO102" s="1" t="s">
        <v>41</v>
      </c>
      <c r="AP102" s="50" t="s">
        <v>69</v>
      </c>
      <c r="AQ102" s="50" t="s">
        <v>72</v>
      </c>
      <c r="AR102" s="1">
        <v>1</v>
      </c>
      <c r="AS102" s="1"/>
      <c r="AT102" s="1">
        <v>1</v>
      </c>
      <c r="AU102" s="1"/>
      <c r="AV102" s="1" t="s">
        <v>58</v>
      </c>
    </row>
    <row r="103" spans="1:48" ht="15.75" customHeight="1" x14ac:dyDescent="0.3">
      <c r="A103" s="1">
        <v>108</v>
      </c>
      <c r="B103" s="16">
        <v>44725</v>
      </c>
      <c r="C103" s="1" t="s">
        <v>391</v>
      </c>
      <c r="D103" s="1" t="str">
        <f t="shared" si="5"/>
        <v>MTI-P-026</v>
      </c>
      <c r="E103" s="1" t="s">
        <v>392</v>
      </c>
      <c r="F103" s="1" t="s">
        <v>36</v>
      </c>
      <c r="G103" s="1">
        <v>44</v>
      </c>
      <c r="H103" s="1"/>
      <c r="I103" s="1" t="s">
        <v>68</v>
      </c>
      <c r="J103" s="1"/>
      <c r="K103" s="1">
        <v>58</v>
      </c>
      <c r="L103" s="1">
        <v>168</v>
      </c>
      <c r="M103" s="7">
        <f t="shared" si="2"/>
        <v>1.68</v>
      </c>
      <c r="N103" s="7">
        <f t="shared" si="3"/>
        <v>20.549886621315196</v>
      </c>
      <c r="O103" s="1" t="s">
        <v>359</v>
      </c>
      <c r="P103" s="1">
        <v>38</v>
      </c>
      <c r="Q103" s="1" t="s">
        <v>38</v>
      </c>
      <c r="R103" s="1" t="s">
        <v>55</v>
      </c>
      <c r="S103" s="1" t="s">
        <v>38</v>
      </c>
      <c r="T103" s="1" t="s">
        <v>55</v>
      </c>
      <c r="U103" s="1" t="s">
        <v>38</v>
      </c>
      <c r="V103" s="1" t="s">
        <v>55</v>
      </c>
      <c r="W103" s="1" t="s">
        <v>38</v>
      </c>
      <c r="X103" s="1" t="s">
        <v>55</v>
      </c>
      <c r="Y103" s="1" t="s">
        <v>38</v>
      </c>
      <c r="Z103" s="1" t="s">
        <v>55</v>
      </c>
      <c r="AA103" s="1" t="s">
        <v>38</v>
      </c>
      <c r="AB103" s="1" t="s">
        <v>55</v>
      </c>
      <c r="AC103" s="1" t="s">
        <v>41</v>
      </c>
      <c r="AD103" s="1"/>
      <c r="AE103" s="1" t="s">
        <v>41</v>
      </c>
      <c r="AF103" s="1"/>
      <c r="AG103" s="1" t="s">
        <v>38</v>
      </c>
      <c r="AH103" s="1" t="s">
        <v>41</v>
      </c>
      <c r="AI103" s="1" t="s">
        <v>41</v>
      </c>
      <c r="AJ103" s="1" t="s">
        <v>41</v>
      </c>
      <c r="AK103" s="1" t="s">
        <v>41</v>
      </c>
      <c r="AL103" s="1" t="s">
        <v>41</v>
      </c>
      <c r="AM103" s="1"/>
      <c r="AN103" s="1"/>
      <c r="AO103" s="1" t="s">
        <v>41</v>
      </c>
      <c r="AP103" s="50" t="s">
        <v>94</v>
      </c>
      <c r="AQ103" s="50" t="s">
        <v>99</v>
      </c>
      <c r="AR103" s="1">
        <v>4</v>
      </c>
      <c r="AS103" s="1"/>
      <c r="AT103" s="1">
        <v>2</v>
      </c>
      <c r="AU103" s="1"/>
      <c r="AV103" s="1" t="s">
        <v>58</v>
      </c>
    </row>
    <row r="104" spans="1:48" ht="15.75" customHeight="1" x14ac:dyDescent="0.3">
      <c r="A104" s="1">
        <v>109</v>
      </c>
      <c r="B104" s="16">
        <v>44725</v>
      </c>
      <c r="C104" s="1" t="s">
        <v>393</v>
      </c>
      <c r="D104" s="1" t="str">
        <f t="shared" si="5"/>
        <v>MTI-P-025</v>
      </c>
      <c r="E104" s="1" t="s">
        <v>394</v>
      </c>
      <c r="F104" s="1" t="s">
        <v>36</v>
      </c>
      <c r="G104" s="1">
        <v>45</v>
      </c>
      <c r="H104" s="1"/>
      <c r="I104" s="1" t="s">
        <v>68</v>
      </c>
      <c r="J104" s="1"/>
      <c r="K104" s="1">
        <v>68</v>
      </c>
      <c r="L104" s="1">
        <v>170</v>
      </c>
      <c r="M104" s="7">
        <f t="shared" si="2"/>
        <v>1.7</v>
      </c>
      <c r="N104" s="7">
        <f t="shared" si="3"/>
        <v>23.529411764705884</v>
      </c>
      <c r="O104" s="1" t="s">
        <v>359</v>
      </c>
      <c r="P104" s="1">
        <v>37</v>
      </c>
      <c r="Q104" s="1" t="s">
        <v>38</v>
      </c>
      <c r="R104" s="1" t="s">
        <v>110</v>
      </c>
      <c r="S104" s="1" t="s">
        <v>38</v>
      </c>
      <c r="T104" s="1" t="s">
        <v>110</v>
      </c>
      <c r="U104" s="1" t="s">
        <v>38</v>
      </c>
      <c r="V104" s="1" t="s">
        <v>110</v>
      </c>
      <c r="W104" s="1" t="s">
        <v>38</v>
      </c>
      <c r="X104" s="1" t="s">
        <v>110</v>
      </c>
      <c r="Y104" s="1" t="s">
        <v>38</v>
      </c>
      <c r="Z104" s="1" t="s">
        <v>110</v>
      </c>
      <c r="AA104" s="1" t="s">
        <v>38</v>
      </c>
      <c r="AB104" s="1" t="s">
        <v>110</v>
      </c>
      <c r="AC104" s="1" t="s">
        <v>38</v>
      </c>
      <c r="AD104" s="1" t="s">
        <v>53</v>
      </c>
      <c r="AE104" s="1" t="s">
        <v>41</v>
      </c>
      <c r="AF104" s="1"/>
      <c r="AG104" s="1" t="s">
        <v>38</v>
      </c>
      <c r="AH104" s="1" t="s">
        <v>41</v>
      </c>
      <c r="AI104" s="1" t="s">
        <v>41</v>
      </c>
      <c r="AJ104" s="1" t="s">
        <v>41</v>
      </c>
      <c r="AK104" s="1" t="s">
        <v>38</v>
      </c>
      <c r="AL104" s="1" t="s">
        <v>41</v>
      </c>
      <c r="AM104" s="1"/>
      <c r="AN104" s="1"/>
      <c r="AO104" s="1" t="s">
        <v>41</v>
      </c>
      <c r="AP104" s="50" t="s">
        <v>344</v>
      </c>
      <c r="AQ104" s="50" t="s">
        <v>72</v>
      </c>
      <c r="AR104" s="1">
        <v>5</v>
      </c>
      <c r="AS104" s="1"/>
      <c r="AT104" s="1">
        <v>1</v>
      </c>
      <c r="AU104" s="1"/>
      <c r="AV104" s="1" t="s">
        <v>58</v>
      </c>
    </row>
    <row r="105" spans="1:48" ht="15.75" customHeight="1" x14ac:dyDescent="0.3">
      <c r="A105" s="1">
        <v>110</v>
      </c>
      <c r="B105" s="16">
        <v>44720</v>
      </c>
      <c r="C105" s="1" t="s">
        <v>395</v>
      </c>
      <c r="D105" s="1" t="str">
        <f t="shared" si="5"/>
        <v>MTI-P-024</v>
      </c>
      <c r="E105" s="1" t="s">
        <v>396</v>
      </c>
      <c r="F105" s="1" t="s">
        <v>87</v>
      </c>
      <c r="G105" s="1">
        <v>18</v>
      </c>
      <c r="H105" s="1"/>
      <c r="I105" s="1" t="s">
        <v>68</v>
      </c>
      <c r="J105" s="1"/>
      <c r="K105" s="1">
        <v>39</v>
      </c>
      <c r="L105" s="1">
        <v>149</v>
      </c>
      <c r="M105" s="7">
        <f t="shared" si="2"/>
        <v>1.49</v>
      </c>
      <c r="N105" s="7">
        <f t="shared" si="3"/>
        <v>17.56677627133913</v>
      </c>
      <c r="O105" s="1" t="s">
        <v>359</v>
      </c>
      <c r="P105" s="1">
        <v>37</v>
      </c>
      <c r="Q105" s="1" t="s">
        <v>38</v>
      </c>
      <c r="R105" s="1" t="s">
        <v>132</v>
      </c>
      <c r="S105" s="1" t="s">
        <v>38</v>
      </c>
      <c r="T105" s="1" t="s">
        <v>132</v>
      </c>
      <c r="U105" s="1" t="s">
        <v>38</v>
      </c>
      <c r="V105" s="1" t="s">
        <v>132</v>
      </c>
      <c r="W105" s="1" t="s">
        <v>41</v>
      </c>
      <c r="X105" s="1"/>
      <c r="Y105" s="1" t="s">
        <v>38</v>
      </c>
      <c r="Z105" s="1" t="s">
        <v>132</v>
      </c>
      <c r="AA105" s="1" t="s">
        <v>38</v>
      </c>
      <c r="AB105" s="1" t="s">
        <v>65</v>
      </c>
      <c r="AC105" s="1" t="s">
        <v>41</v>
      </c>
      <c r="AD105" s="1"/>
      <c r="AE105" s="1" t="s">
        <v>397</v>
      </c>
      <c r="AF105" s="1" t="s">
        <v>55</v>
      </c>
      <c r="AG105" s="1" t="s">
        <v>38</v>
      </c>
      <c r="AH105" s="1" t="s">
        <v>41</v>
      </c>
      <c r="AI105" s="1" t="s">
        <v>41</v>
      </c>
      <c r="AJ105" s="1" t="s">
        <v>41</v>
      </c>
      <c r="AK105" s="1" t="s">
        <v>41</v>
      </c>
      <c r="AL105" s="1" t="s">
        <v>41</v>
      </c>
      <c r="AM105" s="1"/>
      <c r="AN105" s="1"/>
      <c r="AO105" s="1" t="s">
        <v>41</v>
      </c>
      <c r="AP105" s="50" t="s">
        <v>69</v>
      </c>
      <c r="AQ105" s="50" t="s">
        <v>72</v>
      </c>
      <c r="AR105" s="1">
        <v>7</v>
      </c>
      <c r="AS105" s="1"/>
      <c r="AT105" s="1">
        <v>1</v>
      </c>
      <c r="AU105" s="1"/>
      <c r="AV105" s="1" t="s">
        <v>58</v>
      </c>
    </row>
    <row r="106" spans="1:48" ht="15.75" customHeight="1" x14ac:dyDescent="0.3">
      <c r="A106" s="1">
        <v>111</v>
      </c>
      <c r="B106" s="26">
        <v>44626</v>
      </c>
      <c r="C106" s="1" t="s">
        <v>398</v>
      </c>
      <c r="D106" s="1" t="str">
        <f t="shared" si="5"/>
        <v>MTI-P-022</v>
      </c>
      <c r="E106" s="1" t="s">
        <v>399</v>
      </c>
      <c r="F106" s="1" t="s">
        <v>36</v>
      </c>
      <c r="G106" s="1">
        <v>26</v>
      </c>
      <c r="H106" s="1"/>
      <c r="I106" s="1" t="s">
        <v>68</v>
      </c>
      <c r="J106" s="1"/>
      <c r="K106" s="1">
        <v>56</v>
      </c>
      <c r="L106" s="1">
        <v>168</v>
      </c>
      <c r="M106" s="7">
        <f t="shared" si="2"/>
        <v>1.68</v>
      </c>
      <c r="N106" s="7">
        <f t="shared" si="3"/>
        <v>19.841269841269845</v>
      </c>
      <c r="O106" s="1" t="s">
        <v>359</v>
      </c>
      <c r="P106" s="1">
        <v>37</v>
      </c>
      <c r="Q106" s="1" t="s">
        <v>38</v>
      </c>
      <c r="R106" s="1" t="s">
        <v>83</v>
      </c>
      <c r="S106" s="1" t="s">
        <v>38</v>
      </c>
      <c r="T106" s="1" t="s">
        <v>51</v>
      </c>
      <c r="U106" s="1" t="s">
        <v>38</v>
      </c>
      <c r="V106" s="1" t="s">
        <v>51</v>
      </c>
      <c r="W106" s="1" t="s">
        <v>38</v>
      </c>
      <c r="X106" s="1" t="s">
        <v>51</v>
      </c>
      <c r="Y106" s="1" t="s">
        <v>41</v>
      </c>
      <c r="Z106" s="1"/>
      <c r="AA106" s="1" t="s">
        <v>41</v>
      </c>
      <c r="AB106" s="1"/>
      <c r="AC106" s="1" t="s">
        <v>41</v>
      </c>
      <c r="AD106" s="1"/>
      <c r="AE106" s="1" t="s">
        <v>41</v>
      </c>
      <c r="AF106" s="1"/>
      <c r="AG106" s="1" t="s">
        <v>38</v>
      </c>
      <c r="AH106" s="1" t="s">
        <v>41</v>
      </c>
      <c r="AI106" s="1" t="s">
        <v>41</v>
      </c>
      <c r="AJ106" s="1" t="s">
        <v>41</v>
      </c>
      <c r="AK106" s="1" t="s">
        <v>38</v>
      </c>
      <c r="AL106" s="1" t="s">
        <v>41</v>
      </c>
      <c r="AM106" s="1"/>
      <c r="AN106" s="1"/>
      <c r="AO106" s="1" t="s">
        <v>41</v>
      </c>
      <c r="AP106" s="50" t="s">
        <v>400</v>
      </c>
      <c r="AQ106" s="50" t="s">
        <v>99</v>
      </c>
      <c r="AR106" s="1">
        <v>1</v>
      </c>
      <c r="AS106" s="1"/>
      <c r="AT106" s="1">
        <v>1</v>
      </c>
      <c r="AU106" s="1"/>
      <c r="AV106" s="1" t="s">
        <v>58</v>
      </c>
    </row>
    <row r="107" spans="1:48" ht="15.75" customHeight="1" x14ac:dyDescent="0.3">
      <c r="A107" s="1">
        <v>112</v>
      </c>
      <c r="B107" s="19">
        <v>44649</v>
      </c>
      <c r="C107" s="1" t="s">
        <v>401</v>
      </c>
      <c r="D107" s="1" t="str">
        <f t="shared" si="5"/>
        <v>MTI-P-021</v>
      </c>
      <c r="E107" s="1" t="s">
        <v>402</v>
      </c>
      <c r="F107" s="1" t="s">
        <v>36</v>
      </c>
      <c r="G107" s="1">
        <v>26</v>
      </c>
      <c r="H107" s="1"/>
      <c r="I107" s="1" t="s">
        <v>68</v>
      </c>
      <c r="J107" s="1"/>
      <c r="K107" s="1">
        <v>59</v>
      </c>
      <c r="L107" s="1">
        <v>173</v>
      </c>
      <c r="M107" s="7">
        <f t="shared" si="2"/>
        <v>1.73</v>
      </c>
      <c r="N107" s="7">
        <f t="shared" si="3"/>
        <v>19.713321527615356</v>
      </c>
      <c r="O107" s="1" t="s">
        <v>359</v>
      </c>
      <c r="P107" s="1">
        <v>37</v>
      </c>
      <c r="Q107" s="1" t="s">
        <v>38</v>
      </c>
      <c r="R107" s="1" t="s">
        <v>43</v>
      </c>
      <c r="S107" s="1" t="s">
        <v>38</v>
      </c>
      <c r="T107" s="1" t="s">
        <v>43</v>
      </c>
      <c r="U107" s="1" t="s">
        <v>38</v>
      </c>
      <c r="V107" s="1" t="s">
        <v>51</v>
      </c>
      <c r="W107" s="1" t="s">
        <v>38</v>
      </c>
      <c r="X107" s="1" t="s">
        <v>43</v>
      </c>
      <c r="Y107" s="1" t="s">
        <v>38</v>
      </c>
      <c r="Z107" s="1" t="s">
        <v>43</v>
      </c>
      <c r="AA107" s="1" t="s">
        <v>38</v>
      </c>
      <c r="AB107" s="1" t="s">
        <v>43</v>
      </c>
      <c r="AC107" s="1" t="s">
        <v>41</v>
      </c>
      <c r="AD107" s="1"/>
      <c r="AE107" s="1" t="s">
        <v>41</v>
      </c>
      <c r="AF107" s="1"/>
      <c r="AG107" s="1" t="s">
        <v>38</v>
      </c>
      <c r="AH107" s="1" t="s">
        <v>41</v>
      </c>
      <c r="AI107" s="1" t="s">
        <v>41</v>
      </c>
      <c r="AJ107" s="1" t="s">
        <v>41</v>
      </c>
      <c r="AK107" s="1" t="s">
        <v>41</v>
      </c>
      <c r="AL107" s="1" t="s">
        <v>41</v>
      </c>
      <c r="AM107" s="1"/>
      <c r="AN107" s="1"/>
      <c r="AO107" s="1" t="s">
        <v>41</v>
      </c>
      <c r="AP107" s="50" t="s">
        <v>403</v>
      </c>
      <c r="AQ107" s="50" t="s">
        <v>61</v>
      </c>
      <c r="AR107" s="1">
        <v>1</v>
      </c>
      <c r="AS107" s="1"/>
      <c r="AT107" s="1">
        <v>1</v>
      </c>
      <c r="AU107" s="1"/>
      <c r="AV107" s="1" t="s">
        <v>58</v>
      </c>
    </row>
    <row r="108" spans="1:48" ht="15.75" customHeight="1" x14ac:dyDescent="0.3">
      <c r="A108" s="1">
        <v>113</v>
      </c>
      <c r="B108" s="19">
        <v>44634</v>
      </c>
      <c r="C108" s="1" t="s">
        <v>404</v>
      </c>
      <c r="D108" s="1" t="str">
        <f t="shared" si="5"/>
        <v>MTI-P-020</v>
      </c>
      <c r="E108" s="1" t="s">
        <v>405</v>
      </c>
      <c r="F108" s="1" t="s">
        <v>36</v>
      </c>
      <c r="G108" s="1">
        <v>25</v>
      </c>
      <c r="H108" s="1"/>
      <c r="I108" s="1" t="s">
        <v>68</v>
      </c>
      <c r="J108" s="1" t="s">
        <v>856</v>
      </c>
      <c r="K108" s="1">
        <v>65</v>
      </c>
      <c r="L108" s="1">
        <v>175</v>
      </c>
      <c r="M108" s="7">
        <f t="shared" si="2"/>
        <v>1.75</v>
      </c>
      <c r="N108" s="7">
        <f t="shared" si="3"/>
        <v>21.224489795918366</v>
      </c>
      <c r="O108" s="1" t="s">
        <v>359</v>
      </c>
      <c r="P108" s="1">
        <v>37</v>
      </c>
      <c r="Q108" s="1" t="s">
        <v>38</v>
      </c>
      <c r="R108" s="1" t="s">
        <v>51</v>
      </c>
      <c r="S108" s="1" t="s">
        <v>38</v>
      </c>
      <c r="T108" s="1" t="s">
        <v>51</v>
      </c>
      <c r="U108" s="1" t="s">
        <v>41</v>
      </c>
      <c r="V108" s="1"/>
      <c r="W108" s="1" t="s">
        <v>38</v>
      </c>
      <c r="X108" s="1" t="s">
        <v>51</v>
      </c>
      <c r="Y108" s="1" t="s">
        <v>38</v>
      </c>
      <c r="Z108" s="1" t="s">
        <v>51</v>
      </c>
      <c r="AA108" s="1" t="s">
        <v>38</v>
      </c>
      <c r="AB108" s="1" t="s">
        <v>51</v>
      </c>
      <c r="AC108" s="1" t="s">
        <v>38</v>
      </c>
      <c r="AD108" s="1" t="s">
        <v>51</v>
      </c>
      <c r="AE108" s="1" t="s">
        <v>213</v>
      </c>
      <c r="AF108" s="1" t="s">
        <v>51</v>
      </c>
      <c r="AG108" s="1" t="s">
        <v>38</v>
      </c>
      <c r="AH108" s="1" t="s">
        <v>41</v>
      </c>
      <c r="AI108" s="1" t="s">
        <v>41</v>
      </c>
      <c r="AJ108" s="1" t="s">
        <v>41</v>
      </c>
      <c r="AK108" s="1" t="s">
        <v>41</v>
      </c>
      <c r="AL108" s="1" t="s">
        <v>41</v>
      </c>
      <c r="AM108" s="1"/>
      <c r="AN108" s="1"/>
      <c r="AO108" s="1" t="s">
        <v>41</v>
      </c>
      <c r="AP108" s="50" t="s">
        <v>406</v>
      </c>
      <c r="AQ108" s="50" t="s">
        <v>61</v>
      </c>
      <c r="AR108" s="1">
        <v>1</v>
      </c>
      <c r="AS108" s="1"/>
      <c r="AT108" s="1">
        <v>1</v>
      </c>
      <c r="AU108" s="1"/>
      <c r="AV108" s="1" t="s">
        <v>58</v>
      </c>
    </row>
    <row r="109" spans="1:48" ht="15.75" customHeight="1" x14ac:dyDescent="0.3">
      <c r="A109" s="1">
        <v>114</v>
      </c>
      <c r="B109" s="19">
        <v>44629</v>
      </c>
      <c r="C109" s="1" t="s">
        <v>407</v>
      </c>
      <c r="D109" s="1" t="str">
        <f t="shared" si="5"/>
        <v>MTI-P-019</v>
      </c>
      <c r="E109" s="1" t="s">
        <v>408</v>
      </c>
      <c r="F109" s="1" t="s">
        <v>87</v>
      </c>
      <c r="G109" s="1">
        <v>27</v>
      </c>
      <c r="H109" s="1"/>
      <c r="I109" s="1" t="s">
        <v>68</v>
      </c>
      <c r="J109" s="1"/>
      <c r="K109" s="1">
        <v>51</v>
      </c>
      <c r="L109" s="1">
        <v>150</v>
      </c>
      <c r="M109" s="7">
        <f t="shared" si="2"/>
        <v>1.5</v>
      </c>
      <c r="N109" s="7">
        <f t="shared" si="3"/>
        <v>22.666666666666668</v>
      </c>
      <c r="O109" s="1" t="s">
        <v>359</v>
      </c>
      <c r="P109" s="1">
        <v>37</v>
      </c>
      <c r="Q109" s="1" t="s">
        <v>38</v>
      </c>
      <c r="R109" s="1" t="s">
        <v>378</v>
      </c>
      <c r="S109" s="1" t="s">
        <v>41</v>
      </c>
      <c r="T109" s="1"/>
      <c r="U109" s="1" t="s">
        <v>38</v>
      </c>
      <c r="V109" s="1" t="s">
        <v>378</v>
      </c>
      <c r="W109" s="1" t="s">
        <v>38</v>
      </c>
      <c r="X109" s="1" t="s">
        <v>132</v>
      </c>
      <c r="Y109" s="1" t="s">
        <v>41</v>
      </c>
      <c r="Z109" s="1"/>
      <c r="AA109" s="1" t="s">
        <v>38</v>
      </c>
      <c r="AB109" s="1" t="s">
        <v>378</v>
      </c>
      <c r="AC109" s="1" t="s">
        <v>41</v>
      </c>
      <c r="AD109" s="1"/>
      <c r="AE109" s="1" t="s">
        <v>41</v>
      </c>
      <c r="AF109" s="1"/>
      <c r="AG109" s="1" t="s">
        <v>38</v>
      </c>
      <c r="AH109" s="1" t="s">
        <v>41</v>
      </c>
      <c r="AI109" s="1" t="s">
        <v>41</v>
      </c>
      <c r="AJ109" s="1" t="s">
        <v>41</v>
      </c>
      <c r="AK109" s="1" t="s">
        <v>38</v>
      </c>
      <c r="AL109" s="1" t="s">
        <v>41</v>
      </c>
      <c r="AM109" s="1"/>
      <c r="AN109" s="1"/>
      <c r="AO109" s="1" t="s">
        <v>41</v>
      </c>
      <c r="AP109" s="50" t="s">
        <v>69</v>
      </c>
      <c r="AQ109" s="50" t="s">
        <v>72</v>
      </c>
      <c r="AR109" s="1">
        <v>2</v>
      </c>
      <c r="AS109" s="1"/>
      <c r="AT109" s="1">
        <v>2</v>
      </c>
      <c r="AU109" s="1"/>
      <c r="AV109" s="1" t="s">
        <v>58</v>
      </c>
    </row>
    <row r="110" spans="1:48" ht="15.75" customHeight="1" x14ac:dyDescent="0.3">
      <c r="A110" s="1">
        <v>116</v>
      </c>
      <c r="B110" s="19">
        <v>44627</v>
      </c>
      <c r="C110" s="1" t="s">
        <v>409</v>
      </c>
      <c r="D110" s="1" t="str">
        <f t="shared" si="5"/>
        <v>MTI-P-018</v>
      </c>
      <c r="E110" s="1" t="s">
        <v>394</v>
      </c>
      <c r="F110" s="1" t="s">
        <v>36</v>
      </c>
      <c r="G110" s="1">
        <v>25</v>
      </c>
      <c r="H110" s="1"/>
      <c r="I110" s="1" t="s">
        <v>68</v>
      </c>
      <c r="J110" s="1"/>
      <c r="K110" s="1">
        <v>57</v>
      </c>
      <c r="L110" s="1">
        <v>193</v>
      </c>
      <c r="M110" s="7">
        <f t="shared" si="2"/>
        <v>1.93</v>
      </c>
      <c r="N110" s="7">
        <f t="shared" si="3"/>
        <v>15.302424226153724</v>
      </c>
      <c r="O110" s="1" t="s">
        <v>359</v>
      </c>
      <c r="P110" s="1">
        <v>37</v>
      </c>
      <c r="Q110" s="1" t="s">
        <v>38</v>
      </c>
      <c r="R110" s="1" t="s">
        <v>43</v>
      </c>
      <c r="S110" s="1" t="s">
        <v>38</v>
      </c>
      <c r="T110" s="1" t="s">
        <v>43</v>
      </c>
      <c r="U110" s="1" t="s">
        <v>38</v>
      </c>
      <c r="V110" s="1" t="s">
        <v>43</v>
      </c>
      <c r="W110" s="1" t="s">
        <v>38</v>
      </c>
      <c r="X110" s="1" t="s">
        <v>43</v>
      </c>
      <c r="Y110" s="1" t="s">
        <v>41</v>
      </c>
      <c r="Z110" s="1"/>
      <c r="AA110" s="1" t="s">
        <v>41</v>
      </c>
      <c r="AB110" s="1"/>
      <c r="AC110" s="1" t="s">
        <v>41</v>
      </c>
      <c r="AD110" s="1"/>
      <c r="AE110" s="1" t="s">
        <v>41</v>
      </c>
      <c r="AF110" s="1"/>
      <c r="AG110" s="1" t="s">
        <v>38</v>
      </c>
      <c r="AH110" s="1" t="s">
        <v>41</v>
      </c>
      <c r="AI110" s="1" t="s">
        <v>41</v>
      </c>
      <c r="AJ110" s="1" t="s">
        <v>38</v>
      </c>
      <c r="AK110" s="1" t="s">
        <v>38</v>
      </c>
      <c r="AL110" s="1" t="s">
        <v>41</v>
      </c>
      <c r="AM110" s="1"/>
      <c r="AN110" s="1"/>
      <c r="AO110" s="1" t="s">
        <v>41</v>
      </c>
      <c r="AP110" s="50" t="s">
        <v>69</v>
      </c>
      <c r="AQ110" s="50" t="s">
        <v>61</v>
      </c>
      <c r="AR110" s="1">
        <v>2</v>
      </c>
      <c r="AS110" s="1"/>
      <c r="AT110" s="1">
        <v>1</v>
      </c>
      <c r="AU110" s="1"/>
      <c r="AV110" s="1" t="s">
        <v>58</v>
      </c>
    </row>
    <row r="111" spans="1:48" ht="15.75" customHeight="1" x14ac:dyDescent="0.3">
      <c r="A111" s="1">
        <v>117</v>
      </c>
      <c r="B111" s="19">
        <v>44989</v>
      </c>
      <c r="C111" s="1" t="s">
        <v>410</v>
      </c>
      <c r="D111" s="1" t="str">
        <f t="shared" si="5"/>
        <v>MTI-P-017</v>
      </c>
      <c r="E111" s="1" t="s">
        <v>411</v>
      </c>
      <c r="F111" s="1" t="s">
        <v>36</v>
      </c>
      <c r="G111" s="1">
        <v>49</v>
      </c>
      <c r="H111" s="1"/>
      <c r="I111" s="1" t="s">
        <v>68</v>
      </c>
      <c r="J111" s="1"/>
      <c r="K111" s="1">
        <v>65</v>
      </c>
      <c r="L111" s="1">
        <v>169</v>
      </c>
      <c r="M111" s="7">
        <f t="shared" si="2"/>
        <v>1.69</v>
      </c>
      <c r="N111" s="7">
        <f t="shared" si="3"/>
        <v>22.758306781975424</v>
      </c>
      <c r="O111" s="1" t="s">
        <v>359</v>
      </c>
      <c r="P111" s="1">
        <v>37</v>
      </c>
      <c r="Q111" s="1" t="s">
        <v>38</v>
      </c>
      <c r="R111" s="1" t="s">
        <v>132</v>
      </c>
      <c r="S111" s="1" t="s">
        <v>38</v>
      </c>
      <c r="T111" s="1" t="s">
        <v>132</v>
      </c>
      <c r="U111" s="1" t="s">
        <v>38</v>
      </c>
      <c r="V111" s="1" t="s">
        <v>51</v>
      </c>
      <c r="W111" s="1" t="s">
        <v>38</v>
      </c>
      <c r="X111" s="1" t="s">
        <v>43</v>
      </c>
      <c r="Y111" s="1" t="s">
        <v>41</v>
      </c>
      <c r="Z111" s="1"/>
      <c r="AA111" s="1" t="s">
        <v>41</v>
      </c>
      <c r="AB111" s="1"/>
      <c r="AC111" s="1" t="s">
        <v>41</v>
      </c>
      <c r="AD111" s="1"/>
      <c r="AE111" s="1" t="s">
        <v>213</v>
      </c>
      <c r="AF111" s="1" t="s">
        <v>50</v>
      </c>
      <c r="AG111" s="1" t="s">
        <v>38</v>
      </c>
      <c r="AH111" s="1" t="s">
        <v>41</v>
      </c>
      <c r="AI111" s="1" t="s">
        <v>41</v>
      </c>
      <c r="AJ111" s="1" t="s">
        <v>41</v>
      </c>
      <c r="AK111" s="1" t="s">
        <v>38</v>
      </c>
      <c r="AL111" s="1" t="s">
        <v>41</v>
      </c>
      <c r="AM111" s="1"/>
      <c r="AN111" s="1"/>
      <c r="AO111" s="1" t="s">
        <v>38</v>
      </c>
      <c r="AP111" s="50" t="s">
        <v>412</v>
      </c>
      <c r="AQ111" s="50" t="s">
        <v>61</v>
      </c>
      <c r="AR111" s="1">
        <v>6</v>
      </c>
      <c r="AS111" s="1"/>
      <c r="AT111" s="1">
        <v>3</v>
      </c>
      <c r="AU111" s="1"/>
      <c r="AV111" s="1" t="s">
        <v>46</v>
      </c>
    </row>
    <row r="112" spans="1:48" ht="15.75" customHeight="1" x14ac:dyDescent="0.3">
      <c r="A112" s="1">
        <v>118</v>
      </c>
      <c r="B112" s="19">
        <v>44622</v>
      </c>
      <c r="C112" s="1" t="s">
        <v>413</v>
      </c>
      <c r="D112" s="1" t="str">
        <f t="shared" si="5"/>
        <v>MTI-P-016</v>
      </c>
      <c r="E112" s="1" t="s">
        <v>414</v>
      </c>
      <c r="F112" s="1" t="s">
        <v>36</v>
      </c>
      <c r="G112" s="1">
        <v>30</v>
      </c>
      <c r="H112" s="1"/>
      <c r="I112" s="1" t="s">
        <v>68</v>
      </c>
      <c r="J112" s="1"/>
      <c r="K112" s="1">
        <v>53</v>
      </c>
      <c r="L112" s="1">
        <v>169</v>
      </c>
      <c r="M112" s="7">
        <f t="shared" si="2"/>
        <v>1.69</v>
      </c>
      <c r="N112" s="7">
        <f t="shared" si="3"/>
        <v>18.556773222226116</v>
      </c>
      <c r="O112" s="1" t="s">
        <v>359</v>
      </c>
      <c r="P112" s="1">
        <v>38</v>
      </c>
      <c r="Q112" s="1" t="s">
        <v>38</v>
      </c>
      <c r="R112" s="1" t="s">
        <v>415</v>
      </c>
      <c r="S112" s="1" t="s">
        <v>38</v>
      </c>
      <c r="T112" s="1" t="s">
        <v>415</v>
      </c>
      <c r="U112" s="1" t="s">
        <v>38</v>
      </c>
      <c r="V112" s="1" t="s">
        <v>55</v>
      </c>
      <c r="W112" s="1" t="s">
        <v>38</v>
      </c>
      <c r="X112" s="1" t="s">
        <v>65</v>
      </c>
      <c r="Y112" s="1" t="s">
        <v>38</v>
      </c>
      <c r="Z112" s="1" t="s">
        <v>415</v>
      </c>
      <c r="AA112" s="1" t="s">
        <v>38</v>
      </c>
      <c r="AB112" s="1" t="s">
        <v>415</v>
      </c>
      <c r="AC112" s="1" t="s">
        <v>41</v>
      </c>
      <c r="AD112" s="1"/>
      <c r="AE112" s="1" t="s">
        <v>41</v>
      </c>
      <c r="AF112" s="1"/>
      <c r="AG112" s="1" t="s">
        <v>38</v>
      </c>
      <c r="AH112" s="1" t="s">
        <v>41</v>
      </c>
      <c r="AI112" s="1" t="s">
        <v>41</v>
      </c>
      <c r="AJ112" s="1" t="s">
        <v>41</v>
      </c>
      <c r="AK112" s="1" t="s">
        <v>38</v>
      </c>
      <c r="AL112" s="1" t="s">
        <v>41</v>
      </c>
      <c r="AM112" s="1"/>
      <c r="AN112" s="1"/>
      <c r="AO112" s="1" t="s">
        <v>41</v>
      </c>
      <c r="AP112" s="50" t="s">
        <v>416</v>
      </c>
      <c r="AQ112" s="50" t="s">
        <v>61</v>
      </c>
      <c r="AR112" s="1">
        <v>6</v>
      </c>
      <c r="AS112" s="1"/>
      <c r="AT112" s="1">
        <v>6</v>
      </c>
      <c r="AU112" s="1"/>
      <c r="AV112" s="1" t="s">
        <v>46</v>
      </c>
    </row>
    <row r="113" spans="1:48" ht="15.75" customHeight="1" x14ac:dyDescent="0.3">
      <c r="A113" s="1">
        <v>119</v>
      </c>
      <c r="B113" s="16">
        <v>44620</v>
      </c>
      <c r="C113" s="1" t="s">
        <v>417</v>
      </c>
      <c r="D113" s="1" t="str">
        <f t="shared" si="5"/>
        <v>MTI-P-015</v>
      </c>
      <c r="E113" s="1" t="s">
        <v>418</v>
      </c>
      <c r="F113" s="1" t="s">
        <v>87</v>
      </c>
      <c r="G113" s="1">
        <v>19</v>
      </c>
      <c r="H113" s="1"/>
      <c r="I113" s="1" t="s">
        <v>68</v>
      </c>
      <c r="J113" s="1"/>
      <c r="K113" s="1">
        <v>51</v>
      </c>
      <c r="L113" s="1">
        <v>145</v>
      </c>
      <c r="M113" s="7">
        <f t="shared" si="2"/>
        <v>1.45</v>
      </c>
      <c r="N113" s="7">
        <f t="shared" si="3"/>
        <v>24.256837098692031</v>
      </c>
      <c r="O113" s="1" t="s">
        <v>359</v>
      </c>
      <c r="P113" s="1">
        <v>38</v>
      </c>
      <c r="Q113" s="1" t="s">
        <v>38</v>
      </c>
      <c r="R113" s="1" t="s">
        <v>52</v>
      </c>
      <c r="S113" s="1" t="s">
        <v>38</v>
      </c>
      <c r="T113" s="1" t="s">
        <v>52</v>
      </c>
      <c r="U113" s="1" t="s">
        <v>38</v>
      </c>
      <c r="V113" s="1" t="s">
        <v>52</v>
      </c>
      <c r="W113" s="1" t="s">
        <v>41</v>
      </c>
      <c r="X113" s="1"/>
      <c r="Y113" s="1" t="s">
        <v>41</v>
      </c>
      <c r="Z113" s="1"/>
      <c r="AA113" s="1" t="s">
        <v>41</v>
      </c>
      <c r="AB113" s="1"/>
      <c r="AC113" s="1" t="s">
        <v>38</v>
      </c>
      <c r="AD113" s="1" t="s">
        <v>52</v>
      </c>
      <c r="AE113" s="1" t="s">
        <v>41</v>
      </c>
      <c r="AF113" s="1"/>
      <c r="AG113" s="1" t="s">
        <v>38</v>
      </c>
      <c r="AH113" s="1" t="s">
        <v>41</v>
      </c>
      <c r="AI113" s="1" t="s">
        <v>41</v>
      </c>
      <c r="AJ113" s="1" t="s">
        <v>41</v>
      </c>
      <c r="AK113" s="1" t="s">
        <v>41</v>
      </c>
      <c r="AL113" s="1" t="s">
        <v>41</v>
      </c>
      <c r="AM113" s="1"/>
      <c r="AN113" s="1"/>
      <c r="AO113" s="1" t="s">
        <v>38</v>
      </c>
      <c r="AP113" s="50" t="s">
        <v>79</v>
      </c>
      <c r="AQ113" s="50" t="s">
        <v>61</v>
      </c>
      <c r="AR113" s="1">
        <v>7</v>
      </c>
      <c r="AS113" s="1"/>
      <c r="AT113" s="1">
        <v>3</v>
      </c>
      <c r="AU113" s="1"/>
      <c r="AV113" s="1" t="s">
        <v>46</v>
      </c>
    </row>
    <row r="114" spans="1:48" ht="15.75" customHeight="1" x14ac:dyDescent="0.3">
      <c r="A114" s="1">
        <v>120</v>
      </c>
      <c r="B114" s="16">
        <v>44614</v>
      </c>
      <c r="C114" s="1" t="s">
        <v>419</v>
      </c>
      <c r="D114" s="1" t="str">
        <f t="shared" si="5"/>
        <v>MTI-P-014</v>
      </c>
      <c r="E114" s="1" t="s">
        <v>420</v>
      </c>
      <c r="F114" s="1" t="s">
        <v>36</v>
      </c>
      <c r="G114" s="1">
        <v>29</v>
      </c>
      <c r="H114" s="1"/>
      <c r="I114" s="1" t="s">
        <v>68</v>
      </c>
      <c r="J114" s="1"/>
      <c r="K114" s="1">
        <v>71</v>
      </c>
      <c r="L114" s="1">
        <v>170</v>
      </c>
      <c r="M114" s="7">
        <f t="shared" si="2"/>
        <v>1.7</v>
      </c>
      <c r="N114" s="7">
        <f t="shared" si="3"/>
        <v>24.567474048442911</v>
      </c>
      <c r="O114" s="1" t="s">
        <v>359</v>
      </c>
      <c r="P114" s="1">
        <v>37</v>
      </c>
      <c r="Q114" s="1" t="s">
        <v>38</v>
      </c>
      <c r="R114" s="1" t="s">
        <v>354</v>
      </c>
      <c r="S114" s="1" t="s">
        <v>38</v>
      </c>
      <c r="T114" s="1" t="s">
        <v>354</v>
      </c>
      <c r="U114" s="1" t="s">
        <v>38</v>
      </c>
      <c r="V114" s="1" t="s">
        <v>421</v>
      </c>
      <c r="W114" s="1" t="s">
        <v>41</v>
      </c>
      <c r="X114" s="1"/>
      <c r="Y114" s="1" t="s">
        <v>41</v>
      </c>
      <c r="Z114" s="1"/>
      <c r="AA114" s="1" t="s">
        <v>41</v>
      </c>
      <c r="AB114" s="1"/>
      <c r="AC114" s="1" t="s">
        <v>41</v>
      </c>
      <c r="AD114" s="1"/>
      <c r="AE114" s="1" t="s">
        <v>41</v>
      </c>
      <c r="AF114" s="1"/>
      <c r="AG114" s="1" t="s">
        <v>38</v>
      </c>
      <c r="AH114" s="1" t="s">
        <v>41</v>
      </c>
      <c r="AI114" s="1" t="s">
        <v>41</v>
      </c>
      <c r="AJ114" s="1" t="s">
        <v>41</v>
      </c>
      <c r="AK114" s="1" t="s">
        <v>41</v>
      </c>
      <c r="AL114" s="1" t="s">
        <v>41</v>
      </c>
      <c r="AM114" s="1"/>
      <c r="AN114" s="1"/>
      <c r="AO114" s="1" t="s">
        <v>41</v>
      </c>
      <c r="AP114" s="50" t="s">
        <v>118</v>
      </c>
      <c r="AQ114" s="50" t="s">
        <v>172</v>
      </c>
      <c r="AR114" s="1">
        <v>2</v>
      </c>
      <c r="AS114" s="1"/>
      <c r="AT114" s="1">
        <v>2</v>
      </c>
      <c r="AU114" s="1"/>
      <c r="AV114" s="1" t="s">
        <v>58</v>
      </c>
    </row>
    <row r="115" spans="1:48" ht="15.75" customHeight="1" x14ac:dyDescent="0.3">
      <c r="A115" s="1">
        <v>121</v>
      </c>
      <c r="B115" s="16">
        <v>44599</v>
      </c>
      <c r="C115" s="1" t="s">
        <v>422</v>
      </c>
      <c r="D115" s="1" t="str">
        <f t="shared" si="5"/>
        <v>MTI-P-013</v>
      </c>
      <c r="E115" s="1" t="s">
        <v>418</v>
      </c>
      <c r="F115" s="1" t="s">
        <v>87</v>
      </c>
      <c r="G115" s="1">
        <v>26</v>
      </c>
      <c r="H115" s="1"/>
      <c r="I115" s="1" t="s">
        <v>68</v>
      </c>
      <c r="J115" s="1"/>
      <c r="K115" s="1">
        <v>51</v>
      </c>
      <c r="L115" s="1">
        <v>155</v>
      </c>
      <c r="M115" s="7">
        <f t="shared" si="2"/>
        <v>1.55</v>
      </c>
      <c r="N115" s="7">
        <f t="shared" si="3"/>
        <v>21.227887617065555</v>
      </c>
      <c r="O115" s="1" t="s">
        <v>359</v>
      </c>
      <c r="P115" s="1">
        <v>37</v>
      </c>
      <c r="Q115" s="1" t="s">
        <v>38</v>
      </c>
      <c r="R115" s="1" t="s">
        <v>64</v>
      </c>
      <c r="S115" s="1" t="s">
        <v>38</v>
      </c>
      <c r="T115" s="1" t="s">
        <v>50</v>
      </c>
      <c r="U115" s="1" t="s">
        <v>38</v>
      </c>
      <c r="V115" s="1" t="s">
        <v>50</v>
      </c>
      <c r="W115" s="1" t="s">
        <v>41</v>
      </c>
      <c r="X115" s="1"/>
      <c r="Y115" s="1" t="s">
        <v>41</v>
      </c>
      <c r="Z115" s="1"/>
      <c r="AA115" s="1" t="s">
        <v>38</v>
      </c>
      <c r="AB115" s="1" t="s">
        <v>43</v>
      </c>
      <c r="AC115" s="1" t="s">
        <v>41</v>
      </c>
      <c r="AD115" s="1"/>
      <c r="AE115" s="1" t="s">
        <v>423</v>
      </c>
      <c r="AF115" s="1" t="s">
        <v>64</v>
      </c>
      <c r="AG115" s="1" t="s">
        <v>38</v>
      </c>
      <c r="AH115" s="1" t="s">
        <v>41</v>
      </c>
      <c r="AI115" s="1" t="s">
        <v>41</v>
      </c>
      <c r="AJ115" s="1" t="s">
        <v>41</v>
      </c>
      <c r="AK115" s="1" t="s">
        <v>41</v>
      </c>
      <c r="AL115" s="1" t="s">
        <v>41</v>
      </c>
      <c r="AM115" s="1"/>
      <c r="AN115" s="1"/>
      <c r="AO115" s="1" t="s">
        <v>38</v>
      </c>
      <c r="AP115" s="50" t="s">
        <v>141</v>
      </c>
      <c r="AQ115" s="50" t="s">
        <v>61</v>
      </c>
      <c r="AR115" s="1">
        <v>4</v>
      </c>
      <c r="AS115" s="1"/>
      <c r="AT115" s="1">
        <v>3</v>
      </c>
      <c r="AU115" s="1"/>
      <c r="AV115" s="1" t="s">
        <v>58</v>
      </c>
    </row>
    <row r="116" spans="1:48" ht="15.75" customHeight="1" x14ac:dyDescent="0.3">
      <c r="A116" s="1">
        <v>122</v>
      </c>
      <c r="B116" s="16">
        <v>44594</v>
      </c>
      <c r="C116" s="1" t="s">
        <v>424</v>
      </c>
      <c r="D116" s="1" t="str">
        <f t="shared" si="5"/>
        <v>MTI-P-012</v>
      </c>
      <c r="E116" s="1" t="s">
        <v>418</v>
      </c>
      <c r="F116" s="1" t="s">
        <v>87</v>
      </c>
      <c r="G116" s="1">
        <v>26</v>
      </c>
      <c r="H116" s="1"/>
      <c r="I116" s="1" t="s">
        <v>68</v>
      </c>
      <c r="J116" s="1"/>
      <c r="K116" s="1">
        <v>35</v>
      </c>
      <c r="L116" s="1">
        <v>153.69999999999999</v>
      </c>
      <c r="M116" s="7">
        <f t="shared" si="2"/>
        <v>1.5369999999999999</v>
      </c>
      <c r="N116" s="7">
        <f t="shared" si="3"/>
        <v>14.815636337930274</v>
      </c>
      <c r="O116" s="1" t="s">
        <v>359</v>
      </c>
      <c r="P116" s="1">
        <v>36.799999999999997</v>
      </c>
      <c r="Q116" s="1" t="s">
        <v>38</v>
      </c>
      <c r="R116" s="1" t="s">
        <v>43</v>
      </c>
      <c r="S116" s="1" t="s">
        <v>41</v>
      </c>
      <c r="T116" s="1"/>
      <c r="U116" s="1" t="s">
        <v>38</v>
      </c>
      <c r="V116" s="1" t="s">
        <v>43</v>
      </c>
      <c r="W116" s="1"/>
      <c r="X116" s="1"/>
      <c r="Y116" s="1" t="s">
        <v>41</v>
      </c>
      <c r="Z116" s="1"/>
      <c r="AA116" s="1" t="s">
        <v>41</v>
      </c>
      <c r="AB116" s="1"/>
      <c r="AC116" s="1" t="s">
        <v>41</v>
      </c>
      <c r="AD116" s="1"/>
      <c r="AE116" s="1" t="s">
        <v>41</v>
      </c>
      <c r="AF116" s="1"/>
      <c r="AG116" s="1" t="s">
        <v>38</v>
      </c>
      <c r="AH116" s="1" t="s">
        <v>41</v>
      </c>
      <c r="AI116" s="1" t="s">
        <v>41</v>
      </c>
      <c r="AJ116" s="1" t="s">
        <v>41</v>
      </c>
      <c r="AK116" s="1" t="s">
        <v>41</v>
      </c>
      <c r="AL116" s="1" t="s">
        <v>41</v>
      </c>
      <c r="AM116" s="1"/>
      <c r="AN116" s="1"/>
      <c r="AO116" s="1" t="s">
        <v>38</v>
      </c>
      <c r="AP116" s="50" t="s">
        <v>226</v>
      </c>
      <c r="AQ116" s="50" t="s">
        <v>61</v>
      </c>
      <c r="AR116" s="1">
        <v>7</v>
      </c>
      <c r="AS116" s="1"/>
      <c r="AT116" s="1">
        <v>1</v>
      </c>
      <c r="AU116" s="1"/>
      <c r="AV116" s="1" t="s">
        <v>46</v>
      </c>
    </row>
    <row r="117" spans="1:48" ht="15.75" customHeight="1" x14ac:dyDescent="0.3">
      <c r="A117" s="1">
        <v>123</v>
      </c>
      <c r="B117" s="16">
        <v>44592</v>
      </c>
      <c r="C117" s="1" t="s">
        <v>425</v>
      </c>
      <c r="D117" s="1" t="str">
        <f t="shared" si="5"/>
        <v>MTI-P-011</v>
      </c>
      <c r="E117" s="1" t="s">
        <v>426</v>
      </c>
      <c r="F117" s="1" t="s">
        <v>87</v>
      </c>
      <c r="G117" s="1">
        <v>39</v>
      </c>
      <c r="H117" s="1"/>
      <c r="I117" s="1" t="s">
        <v>68</v>
      </c>
      <c r="J117" s="1"/>
      <c r="K117" s="1">
        <v>51</v>
      </c>
      <c r="L117" s="1">
        <v>165</v>
      </c>
      <c r="M117" s="7">
        <f t="shared" si="2"/>
        <v>1.65</v>
      </c>
      <c r="N117" s="7">
        <f t="shared" si="3"/>
        <v>18.732782369146008</v>
      </c>
      <c r="O117" s="1" t="s">
        <v>359</v>
      </c>
      <c r="P117" s="1">
        <v>37.6</v>
      </c>
      <c r="Q117" s="1" t="s">
        <v>38</v>
      </c>
      <c r="R117" s="1" t="s">
        <v>65</v>
      </c>
      <c r="S117" s="1" t="s">
        <v>38</v>
      </c>
      <c r="T117" s="1" t="s">
        <v>65</v>
      </c>
      <c r="U117" s="1" t="s">
        <v>38</v>
      </c>
      <c r="V117" s="1" t="s">
        <v>65</v>
      </c>
      <c r="W117" s="1" t="s">
        <v>41</v>
      </c>
      <c r="X117" s="1"/>
      <c r="Y117" s="1" t="s">
        <v>41</v>
      </c>
      <c r="Z117" s="1"/>
      <c r="AA117" s="1" t="s">
        <v>41</v>
      </c>
      <c r="AB117" s="1"/>
      <c r="AC117" s="1" t="s">
        <v>41</v>
      </c>
      <c r="AD117" s="1"/>
      <c r="AE117" s="1" t="s">
        <v>427</v>
      </c>
      <c r="AF117" s="1" t="s">
        <v>65</v>
      </c>
      <c r="AG117" s="1" t="s">
        <v>38</v>
      </c>
      <c r="AH117" s="1" t="s">
        <v>41</v>
      </c>
      <c r="AI117" s="1" t="s">
        <v>41</v>
      </c>
      <c r="AJ117" s="1" t="s">
        <v>38</v>
      </c>
      <c r="AK117" s="1" t="s">
        <v>41</v>
      </c>
      <c r="AL117" s="1" t="s">
        <v>41</v>
      </c>
      <c r="AM117" s="1"/>
      <c r="AN117" s="1"/>
      <c r="AO117" s="1" t="s">
        <v>41</v>
      </c>
      <c r="AP117" s="50" t="s">
        <v>428</v>
      </c>
      <c r="AQ117" s="50" t="s">
        <v>99</v>
      </c>
      <c r="AR117" s="1">
        <v>7</v>
      </c>
      <c r="AS117" s="1"/>
      <c r="AT117" s="1">
        <v>1</v>
      </c>
      <c r="AU117" s="1"/>
      <c r="AV117" s="1" t="s">
        <v>58</v>
      </c>
    </row>
    <row r="118" spans="1:48" ht="15.75" customHeight="1" x14ac:dyDescent="0.3">
      <c r="A118" s="1">
        <v>124</v>
      </c>
      <c r="B118" s="16">
        <v>44589</v>
      </c>
      <c r="C118" s="1" t="s">
        <v>429</v>
      </c>
      <c r="D118" s="1" t="str">
        <f t="shared" si="5"/>
        <v>MTI-P-010</v>
      </c>
      <c r="E118" s="1" t="s">
        <v>430</v>
      </c>
      <c r="F118" s="1" t="s">
        <v>87</v>
      </c>
      <c r="G118" s="1">
        <v>29</v>
      </c>
      <c r="H118" s="1"/>
      <c r="I118" s="1" t="s">
        <v>68</v>
      </c>
      <c r="J118" s="1"/>
      <c r="K118" s="1">
        <v>54</v>
      </c>
      <c r="L118" s="1">
        <v>156.4</v>
      </c>
      <c r="M118" s="7">
        <f t="shared" si="2"/>
        <v>1.5640000000000001</v>
      </c>
      <c r="N118" s="7">
        <f t="shared" si="3"/>
        <v>22.075993746770362</v>
      </c>
      <c r="O118" s="1" t="s">
        <v>359</v>
      </c>
      <c r="P118" s="1">
        <v>37.4</v>
      </c>
      <c r="Q118" s="1" t="s">
        <v>38</v>
      </c>
      <c r="R118" s="1" t="s">
        <v>50</v>
      </c>
      <c r="S118" s="1" t="s">
        <v>38</v>
      </c>
      <c r="T118" s="1" t="s">
        <v>43</v>
      </c>
      <c r="U118" s="1" t="s">
        <v>38</v>
      </c>
      <c r="V118" s="1" t="s">
        <v>65</v>
      </c>
      <c r="W118" s="1" t="s">
        <v>41</v>
      </c>
      <c r="X118" s="1"/>
      <c r="Y118" s="1" t="s">
        <v>38</v>
      </c>
      <c r="Z118" s="1" t="s">
        <v>43</v>
      </c>
      <c r="AA118" s="1" t="s">
        <v>38</v>
      </c>
      <c r="AB118" s="1" t="s">
        <v>50</v>
      </c>
      <c r="AC118" s="1" t="s">
        <v>38</v>
      </c>
      <c r="AD118" s="1" t="s">
        <v>146</v>
      </c>
      <c r="AE118" s="1" t="s">
        <v>41</v>
      </c>
      <c r="AF118" s="1"/>
      <c r="AG118" s="1" t="s">
        <v>38</v>
      </c>
      <c r="AH118" s="1" t="s">
        <v>41</v>
      </c>
      <c r="AI118" s="1" t="s">
        <v>41</v>
      </c>
      <c r="AJ118" s="1" t="s">
        <v>41</v>
      </c>
      <c r="AK118" s="1" t="s">
        <v>41</v>
      </c>
      <c r="AL118" s="1" t="s">
        <v>41</v>
      </c>
      <c r="AM118" s="1"/>
      <c r="AN118" s="1"/>
      <c r="AO118" s="1" t="s">
        <v>41</v>
      </c>
      <c r="AP118" s="50" t="s">
        <v>428</v>
      </c>
      <c r="AQ118" s="50" t="s">
        <v>57</v>
      </c>
      <c r="AR118" s="1">
        <v>3</v>
      </c>
      <c r="AS118" s="1"/>
      <c r="AT118" s="1">
        <v>1</v>
      </c>
      <c r="AU118" s="1"/>
      <c r="AV118" s="1" t="s">
        <v>58</v>
      </c>
    </row>
    <row r="119" spans="1:48" ht="15.75" customHeight="1" x14ac:dyDescent="0.3">
      <c r="A119" s="1">
        <v>125</v>
      </c>
      <c r="B119" s="16">
        <v>44588</v>
      </c>
      <c r="C119" s="1" t="s">
        <v>431</v>
      </c>
      <c r="D119" s="1" t="str">
        <f t="shared" si="5"/>
        <v>MTI-P-009</v>
      </c>
      <c r="E119" s="1" t="s">
        <v>432</v>
      </c>
      <c r="F119" s="1" t="s">
        <v>36</v>
      </c>
      <c r="G119" s="1">
        <v>27</v>
      </c>
      <c r="H119" s="1"/>
      <c r="I119" s="1" t="s">
        <v>68</v>
      </c>
      <c r="J119" s="1"/>
      <c r="K119" s="1">
        <v>60</v>
      </c>
      <c r="L119" s="1">
        <v>180.5</v>
      </c>
      <c r="M119" s="7">
        <f t="shared" si="2"/>
        <v>1.8049999999999999</v>
      </c>
      <c r="N119" s="7">
        <f t="shared" si="3"/>
        <v>18.416064947322383</v>
      </c>
      <c r="O119" s="1" t="s">
        <v>359</v>
      </c>
      <c r="P119" s="1">
        <v>38.6</v>
      </c>
      <c r="Q119" s="1" t="s">
        <v>38</v>
      </c>
      <c r="R119" s="1" t="s">
        <v>43</v>
      </c>
      <c r="S119" s="1" t="s">
        <v>38</v>
      </c>
      <c r="T119" s="1" t="s">
        <v>43</v>
      </c>
      <c r="U119" s="1" t="s">
        <v>38</v>
      </c>
      <c r="V119" s="1" t="s">
        <v>43</v>
      </c>
      <c r="W119" s="1" t="s">
        <v>38</v>
      </c>
      <c r="X119" s="1" t="s">
        <v>43</v>
      </c>
      <c r="Y119" s="1" t="s">
        <v>41</v>
      </c>
      <c r="Z119" s="1"/>
      <c r="AA119" s="1" t="s">
        <v>38</v>
      </c>
      <c r="AB119" s="1" t="s">
        <v>43</v>
      </c>
      <c r="AC119" s="1" t="s">
        <v>41</v>
      </c>
      <c r="AD119" s="1"/>
      <c r="AE119" s="1" t="s">
        <v>41</v>
      </c>
      <c r="AF119" s="1"/>
      <c r="AG119" s="1" t="s">
        <v>38</v>
      </c>
      <c r="AH119" s="1" t="s">
        <v>41</v>
      </c>
      <c r="AI119" s="1" t="s">
        <v>41</v>
      </c>
      <c r="AJ119" s="1" t="s">
        <v>41</v>
      </c>
      <c r="AK119" s="1" t="s">
        <v>41</v>
      </c>
      <c r="AL119" s="1" t="s">
        <v>41</v>
      </c>
      <c r="AM119" s="1"/>
      <c r="AN119" s="1"/>
      <c r="AO119" s="1" t="s">
        <v>38</v>
      </c>
      <c r="AP119" s="50" t="s">
        <v>79</v>
      </c>
      <c r="AQ119" s="50" t="s">
        <v>72</v>
      </c>
      <c r="AR119" s="1">
        <v>2</v>
      </c>
      <c r="AS119" s="1"/>
      <c r="AT119" s="1">
        <v>2</v>
      </c>
      <c r="AU119" s="1"/>
      <c r="AV119" s="1" t="s">
        <v>46</v>
      </c>
    </row>
    <row r="120" spans="1:48" ht="15.75" customHeight="1" x14ac:dyDescent="0.3">
      <c r="A120" s="1">
        <v>126</v>
      </c>
      <c r="B120" s="16">
        <v>44588</v>
      </c>
      <c r="C120" s="1" t="s">
        <v>433</v>
      </c>
      <c r="D120" s="1" t="str">
        <f t="shared" si="5"/>
        <v>MTI-P-008</v>
      </c>
      <c r="E120" s="1" t="s">
        <v>434</v>
      </c>
      <c r="F120" s="1" t="s">
        <v>36</v>
      </c>
      <c r="G120" s="1">
        <v>40</v>
      </c>
      <c r="H120" s="1"/>
      <c r="I120" s="1" t="s">
        <v>68</v>
      </c>
      <c r="J120" s="1"/>
      <c r="K120" s="1">
        <v>54</v>
      </c>
      <c r="L120" s="1">
        <v>169.7</v>
      </c>
      <c r="M120" s="7">
        <f t="shared" si="2"/>
        <v>1.6969999999999998</v>
      </c>
      <c r="N120" s="7">
        <f t="shared" si="3"/>
        <v>18.751243572056346</v>
      </c>
      <c r="O120" s="1" t="s">
        <v>359</v>
      </c>
      <c r="P120" s="1">
        <v>38.1</v>
      </c>
      <c r="Q120" s="1" t="s">
        <v>38</v>
      </c>
      <c r="R120" s="1" t="s">
        <v>64</v>
      </c>
      <c r="S120" s="1" t="s">
        <v>41</v>
      </c>
      <c r="T120" s="1"/>
      <c r="U120" s="1" t="s">
        <v>38</v>
      </c>
      <c r="V120" s="1" t="s">
        <v>64</v>
      </c>
      <c r="W120" s="1" t="s">
        <v>38</v>
      </c>
      <c r="X120" s="1" t="s">
        <v>65</v>
      </c>
      <c r="Y120" s="1" t="s">
        <v>38</v>
      </c>
      <c r="Z120" s="1" t="s">
        <v>64</v>
      </c>
      <c r="AA120" s="1" t="s">
        <v>38</v>
      </c>
      <c r="AB120" s="1" t="s">
        <v>64</v>
      </c>
      <c r="AC120" s="1" t="s">
        <v>41</v>
      </c>
      <c r="AD120" s="1"/>
      <c r="AE120" s="1" t="s">
        <v>423</v>
      </c>
      <c r="AF120" s="1" t="s">
        <v>110</v>
      </c>
      <c r="AG120" s="1" t="s">
        <v>38</v>
      </c>
      <c r="AH120" s="1" t="s">
        <v>41</v>
      </c>
      <c r="AI120" s="1" t="s">
        <v>41</v>
      </c>
      <c r="AJ120" s="1" t="s">
        <v>38</v>
      </c>
      <c r="AK120" s="1" t="s">
        <v>38</v>
      </c>
      <c r="AL120" s="1" t="s">
        <v>41</v>
      </c>
      <c r="AM120" s="1"/>
      <c r="AN120" s="1"/>
      <c r="AO120" s="1" t="s">
        <v>41</v>
      </c>
      <c r="AP120" s="50" t="s">
        <v>79</v>
      </c>
      <c r="AQ120" s="50" t="s">
        <v>57</v>
      </c>
      <c r="AR120" s="1">
        <v>1</v>
      </c>
      <c r="AS120" s="1"/>
      <c r="AT120" s="1">
        <v>1</v>
      </c>
      <c r="AU120" s="1"/>
      <c r="AV120" s="1" t="s">
        <v>58</v>
      </c>
    </row>
    <row r="121" spans="1:48" ht="15.75" customHeight="1" x14ac:dyDescent="0.3">
      <c r="A121" s="1">
        <v>128</v>
      </c>
      <c r="B121" s="16">
        <v>44586</v>
      </c>
      <c r="C121" s="1" t="s">
        <v>435</v>
      </c>
      <c r="D121" s="1" t="str">
        <f t="shared" si="5"/>
        <v>MTI-P-007</v>
      </c>
      <c r="E121" s="1" t="s">
        <v>436</v>
      </c>
      <c r="F121" s="1" t="s">
        <v>87</v>
      </c>
      <c r="G121" s="1">
        <v>32</v>
      </c>
      <c r="H121" s="1"/>
      <c r="I121" s="1" t="s">
        <v>68</v>
      </c>
      <c r="J121" s="1"/>
      <c r="K121" s="1">
        <v>60</v>
      </c>
      <c r="L121" s="1">
        <v>151.30000000000001</v>
      </c>
      <c r="M121" s="7">
        <f t="shared" si="2"/>
        <v>1.5130000000000001</v>
      </c>
      <c r="N121" s="7">
        <f t="shared" si="3"/>
        <v>26.210384641763014</v>
      </c>
      <c r="O121" s="1" t="s">
        <v>359</v>
      </c>
      <c r="P121" s="1">
        <v>37.1</v>
      </c>
      <c r="Q121" s="1" t="s">
        <v>38</v>
      </c>
      <c r="R121" s="1" t="s">
        <v>50</v>
      </c>
      <c r="S121" s="1" t="s">
        <v>41</v>
      </c>
      <c r="T121" s="1"/>
      <c r="U121" s="1" t="s">
        <v>41</v>
      </c>
      <c r="V121" s="1"/>
      <c r="W121" s="1" t="s">
        <v>41</v>
      </c>
      <c r="X121" s="1"/>
      <c r="Y121" s="1" t="s">
        <v>41</v>
      </c>
      <c r="Z121" s="1"/>
      <c r="AA121" s="1" t="s">
        <v>41</v>
      </c>
      <c r="AB121" s="1"/>
      <c r="AC121" s="1" t="s">
        <v>41</v>
      </c>
      <c r="AD121" s="1"/>
      <c r="AE121" s="1" t="s">
        <v>423</v>
      </c>
      <c r="AF121" s="1" t="s">
        <v>50</v>
      </c>
      <c r="AG121" s="1" t="s">
        <v>38</v>
      </c>
      <c r="AH121" s="1" t="s">
        <v>41</v>
      </c>
      <c r="AI121" s="1" t="s">
        <v>41</v>
      </c>
      <c r="AJ121" s="1" t="s">
        <v>41</v>
      </c>
      <c r="AK121" s="1" t="s">
        <v>41</v>
      </c>
      <c r="AL121" s="1" t="s">
        <v>41</v>
      </c>
      <c r="AM121" s="1"/>
      <c r="AN121" s="1"/>
      <c r="AO121" s="1" t="s">
        <v>41</v>
      </c>
      <c r="AP121" s="50" t="s">
        <v>437</v>
      </c>
      <c r="AQ121" s="50" t="s">
        <v>72</v>
      </c>
      <c r="AR121" s="1">
        <v>4</v>
      </c>
      <c r="AS121" s="1"/>
      <c r="AT121" s="1">
        <v>2</v>
      </c>
      <c r="AU121" s="1"/>
      <c r="AV121" s="1" t="s">
        <v>46</v>
      </c>
    </row>
    <row r="122" spans="1:48" ht="15.75" customHeight="1" x14ac:dyDescent="0.3">
      <c r="A122" s="1">
        <v>129</v>
      </c>
      <c r="B122" s="16">
        <v>44579</v>
      </c>
      <c r="C122" s="1" t="s">
        <v>438</v>
      </c>
      <c r="D122" s="1" t="str">
        <f t="shared" si="5"/>
        <v>MTI-P-006</v>
      </c>
      <c r="E122" s="1" t="s">
        <v>439</v>
      </c>
      <c r="F122" s="1" t="s">
        <v>36</v>
      </c>
      <c r="G122" s="1">
        <v>30</v>
      </c>
      <c r="H122" s="1"/>
      <c r="I122" s="1" t="s">
        <v>68</v>
      </c>
      <c r="J122" s="1"/>
      <c r="K122" s="1">
        <v>59</v>
      </c>
      <c r="L122" s="1">
        <v>177.5</v>
      </c>
      <c r="M122" s="1">
        <f>L122/100</f>
        <v>1.7749999999999999</v>
      </c>
      <c r="N122" s="7">
        <f t="shared" si="3"/>
        <v>18.726443166038486</v>
      </c>
      <c r="O122" s="1" t="s">
        <v>359</v>
      </c>
      <c r="P122" s="1" t="s">
        <v>69</v>
      </c>
      <c r="Q122" s="1" t="s">
        <v>38</v>
      </c>
      <c r="R122" s="1" t="s">
        <v>65</v>
      </c>
      <c r="S122" s="1" t="s">
        <v>38</v>
      </c>
      <c r="T122" s="1" t="s">
        <v>51</v>
      </c>
      <c r="U122" s="1" t="s">
        <v>38</v>
      </c>
      <c r="V122" s="1" t="s">
        <v>52</v>
      </c>
      <c r="W122" s="1" t="s">
        <v>38</v>
      </c>
      <c r="X122" s="1" t="s">
        <v>53</v>
      </c>
      <c r="Y122" s="1" t="s">
        <v>41</v>
      </c>
      <c r="Z122" s="1"/>
      <c r="AA122" s="1" t="s">
        <v>41</v>
      </c>
      <c r="AB122" s="1"/>
      <c r="AC122" s="1" t="s">
        <v>41</v>
      </c>
      <c r="AD122" s="1"/>
      <c r="AE122" s="1" t="s">
        <v>213</v>
      </c>
      <c r="AF122" s="1" t="s">
        <v>53</v>
      </c>
      <c r="AG122" s="1" t="s">
        <v>38</v>
      </c>
      <c r="AH122" s="1" t="s">
        <v>41</v>
      </c>
      <c r="AI122" s="1" t="s">
        <v>41</v>
      </c>
      <c r="AJ122" s="1" t="s">
        <v>41</v>
      </c>
      <c r="AK122" s="1" t="s">
        <v>41</v>
      </c>
      <c r="AL122" s="1" t="s">
        <v>41</v>
      </c>
      <c r="AM122" s="1"/>
      <c r="AN122" s="1"/>
      <c r="AO122" s="1" t="s">
        <v>41</v>
      </c>
      <c r="AP122" s="50" t="s">
        <v>344</v>
      </c>
      <c r="AQ122" s="50" t="s">
        <v>57</v>
      </c>
      <c r="AR122" s="1">
        <v>1</v>
      </c>
      <c r="AS122" s="1"/>
      <c r="AT122" s="1">
        <v>1</v>
      </c>
      <c r="AU122" s="1"/>
      <c r="AV122" s="1" t="s">
        <v>58</v>
      </c>
    </row>
    <row r="123" spans="1:48" ht="15.75" customHeight="1" x14ac:dyDescent="0.3">
      <c r="A123" s="1">
        <v>130</v>
      </c>
      <c r="B123" s="16">
        <v>44574</v>
      </c>
      <c r="C123" s="1" t="s">
        <v>440</v>
      </c>
      <c r="D123" s="1" t="str">
        <f t="shared" si="5"/>
        <v>MTI-P-005</v>
      </c>
      <c r="E123" s="1" t="s">
        <v>408</v>
      </c>
      <c r="F123" s="1" t="s">
        <v>87</v>
      </c>
      <c r="G123" s="1">
        <v>22</v>
      </c>
      <c r="H123" s="1"/>
      <c r="I123" s="1" t="s">
        <v>68</v>
      </c>
      <c r="J123" s="1"/>
      <c r="K123" s="1">
        <v>61</v>
      </c>
      <c r="L123" s="1">
        <v>164.1</v>
      </c>
      <c r="M123" s="1">
        <f t="shared" ref="M123:M186" si="6">L123/100</f>
        <v>1.641</v>
      </c>
      <c r="N123" s="7">
        <f t="shared" si="3"/>
        <v>22.652319207569885</v>
      </c>
      <c r="O123" s="1" t="s">
        <v>359</v>
      </c>
      <c r="P123" s="1">
        <v>38</v>
      </c>
      <c r="Q123" s="1" t="s">
        <v>40</v>
      </c>
      <c r="R123" s="1" t="s">
        <v>441</v>
      </c>
      <c r="S123" s="1" t="s">
        <v>38</v>
      </c>
      <c r="T123" s="1" t="s">
        <v>43</v>
      </c>
      <c r="U123" s="1" t="s">
        <v>38</v>
      </c>
      <c r="V123" s="1" t="s">
        <v>43</v>
      </c>
      <c r="W123" s="1" t="s">
        <v>38</v>
      </c>
      <c r="X123" s="1" t="s">
        <v>43</v>
      </c>
      <c r="Y123" s="1" t="s">
        <v>38</v>
      </c>
      <c r="Z123" s="1" t="s">
        <v>378</v>
      </c>
      <c r="AA123" s="1" t="s">
        <v>38</v>
      </c>
      <c r="AB123" s="1" t="s">
        <v>50</v>
      </c>
      <c r="AC123" s="1" t="s">
        <v>41</v>
      </c>
      <c r="AD123" s="1"/>
      <c r="AE123" s="1" t="s">
        <v>442</v>
      </c>
      <c r="AF123" s="1"/>
      <c r="AG123" s="1" t="s">
        <v>38</v>
      </c>
      <c r="AH123" s="1" t="s">
        <v>41</v>
      </c>
      <c r="AI123" s="1" t="s">
        <v>41</v>
      </c>
      <c r="AJ123" s="1" t="s">
        <v>41</v>
      </c>
      <c r="AK123" s="1" t="s">
        <v>38</v>
      </c>
      <c r="AL123" s="1" t="s">
        <v>41</v>
      </c>
      <c r="AM123" s="1"/>
      <c r="AN123" s="1"/>
      <c r="AO123" s="1" t="s">
        <v>41</v>
      </c>
      <c r="AP123" s="50" t="s">
        <v>443</v>
      </c>
      <c r="AQ123" s="50" t="s">
        <v>45</v>
      </c>
      <c r="AR123" s="1">
        <v>2</v>
      </c>
      <c r="AS123" s="1"/>
      <c r="AT123" s="1">
        <v>2</v>
      </c>
      <c r="AU123" s="1"/>
      <c r="AV123" s="1" t="s">
        <v>58</v>
      </c>
    </row>
    <row r="124" spans="1:48" ht="15.75" customHeight="1" x14ac:dyDescent="0.3">
      <c r="A124" s="1">
        <v>131</v>
      </c>
      <c r="B124" s="16">
        <v>44573</v>
      </c>
      <c r="C124" s="1" t="s">
        <v>444</v>
      </c>
      <c r="D124" s="1" t="str">
        <f t="shared" si="5"/>
        <v>MTI-P-004</v>
      </c>
      <c r="E124" s="1" t="s">
        <v>445</v>
      </c>
      <c r="F124" s="1" t="s">
        <v>36</v>
      </c>
      <c r="G124" s="1">
        <v>37</v>
      </c>
      <c r="H124" s="1"/>
      <c r="I124" s="1" t="s">
        <v>68</v>
      </c>
      <c r="J124" s="1"/>
      <c r="K124" s="1">
        <v>41</v>
      </c>
      <c r="L124" s="1">
        <v>166.6</v>
      </c>
      <c r="M124" s="1">
        <f t="shared" si="6"/>
        <v>1.6659999999999999</v>
      </c>
      <c r="N124" s="7">
        <f t="shared" si="3"/>
        <v>14.77181508858045</v>
      </c>
      <c r="O124" s="1" t="s">
        <v>359</v>
      </c>
      <c r="P124" s="1">
        <v>36.799999999999997</v>
      </c>
      <c r="Q124" s="1" t="s">
        <v>38</v>
      </c>
      <c r="R124" s="1" t="s">
        <v>65</v>
      </c>
      <c r="S124" s="1" t="s">
        <v>38</v>
      </c>
      <c r="T124" s="1" t="s">
        <v>446</v>
      </c>
      <c r="U124" s="1" t="s">
        <v>38</v>
      </c>
      <c r="V124" s="1" t="s">
        <v>65</v>
      </c>
      <c r="W124" s="1" t="s">
        <v>38</v>
      </c>
      <c r="X124" s="1" t="s">
        <v>65</v>
      </c>
      <c r="Y124" s="1" t="s">
        <v>38</v>
      </c>
      <c r="Z124" s="1" t="s">
        <v>65</v>
      </c>
      <c r="AA124" s="1" t="s">
        <v>38</v>
      </c>
      <c r="AB124" s="1" t="s">
        <v>65</v>
      </c>
      <c r="AC124" s="1" t="s">
        <v>41</v>
      </c>
      <c r="AD124" s="1"/>
      <c r="AE124" s="1" t="s">
        <v>447</v>
      </c>
      <c r="AF124" s="1"/>
      <c r="AG124" s="1" t="s">
        <v>38</v>
      </c>
      <c r="AH124" s="1" t="s">
        <v>41</v>
      </c>
      <c r="AI124" s="1" t="s">
        <v>41</v>
      </c>
      <c r="AJ124" s="1" t="s">
        <v>41</v>
      </c>
      <c r="AK124" s="1" t="s">
        <v>41</v>
      </c>
      <c r="AL124" s="1" t="s">
        <v>41</v>
      </c>
      <c r="AM124" s="1"/>
      <c r="AN124" s="1"/>
      <c r="AO124" s="1" t="s">
        <v>41</v>
      </c>
      <c r="AP124" s="50" t="s">
        <v>448</v>
      </c>
      <c r="AQ124" s="50" t="s">
        <v>72</v>
      </c>
      <c r="AR124" s="1">
        <v>2</v>
      </c>
      <c r="AS124" s="1"/>
      <c r="AT124" s="1">
        <v>4</v>
      </c>
      <c r="AU124" s="1"/>
      <c r="AV124" s="1" t="s">
        <v>46</v>
      </c>
    </row>
    <row r="125" spans="1:48" ht="15.75" customHeight="1" x14ac:dyDescent="0.3">
      <c r="A125" s="1">
        <v>132</v>
      </c>
      <c r="B125" s="16">
        <v>44567</v>
      </c>
      <c r="C125" s="1" t="s">
        <v>449</v>
      </c>
      <c r="D125" s="1" t="str">
        <f t="shared" si="5"/>
        <v>MTI-P-003</v>
      </c>
      <c r="E125" s="1" t="s">
        <v>450</v>
      </c>
      <c r="F125" s="1" t="s">
        <v>36</v>
      </c>
      <c r="G125" s="1">
        <v>65</v>
      </c>
      <c r="H125" s="1"/>
      <c r="I125" s="1" t="s">
        <v>68</v>
      </c>
      <c r="J125" s="1"/>
      <c r="K125" s="1">
        <v>45</v>
      </c>
      <c r="L125" s="1">
        <v>162.5</v>
      </c>
      <c r="M125" s="1">
        <f t="shared" si="6"/>
        <v>1.625</v>
      </c>
      <c r="N125" s="7">
        <f t="shared" si="3"/>
        <v>17.041420118343197</v>
      </c>
      <c r="O125" s="1" t="s">
        <v>39</v>
      </c>
      <c r="P125" s="1">
        <v>37.4</v>
      </c>
      <c r="Q125" s="1" t="s">
        <v>38</v>
      </c>
      <c r="R125" s="1" t="s">
        <v>50</v>
      </c>
      <c r="S125" s="1" t="s">
        <v>38</v>
      </c>
      <c r="T125" s="1" t="s">
        <v>50</v>
      </c>
      <c r="U125" s="1" t="s">
        <v>38</v>
      </c>
      <c r="V125" s="1" t="s">
        <v>50</v>
      </c>
      <c r="W125" s="1" t="s">
        <v>38</v>
      </c>
      <c r="X125" s="1" t="s">
        <v>132</v>
      </c>
      <c r="Y125" s="1" t="s">
        <v>38</v>
      </c>
      <c r="Z125" s="1" t="s">
        <v>50</v>
      </c>
      <c r="AA125" s="1" t="s">
        <v>38</v>
      </c>
      <c r="AB125" s="1" t="s">
        <v>50</v>
      </c>
      <c r="AC125" s="1" t="s">
        <v>41</v>
      </c>
      <c r="AD125" s="1"/>
      <c r="AE125" s="1" t="s">
        <v>41</v>
      </c>
      <c r="AF125" s="1"/>
      <c r="AG125" s="1" t="s">
        <v>38</v>
      </c>
      <c r="AH125" s="1" t="s">
        <v>41</v>
      </c>
      <c r="AI125" s="1" t="s">
        <v>41</v>
      </c>
      <c r="AJ125" s="1" t="s">
        <v>38</v>
      </c>
      <c r="AK125" s="1" t="s">
        <v>38</v>
      </c>
      <c r="AL125" s="1" t="s">
        <v>41</v>
      </c>
      <c r="AM125" s="1"/>
      <c r="AN125" s="1"/>
      <c r="AO125" s="1" t="s">
        <v>41</v>
      </c>
      <c r="AP125" s="50" t="s">
        <v>118</v>
      </c>
      <c r="AQ125" s="50" t="s">
        <v>72</v>
      </c>
      <c r="AR125" s="1">
        <v>5</v>
      </c>
      <c r="AS125" s="1"/>
      <c r="AT125" s="1">
        <v>2</v>
      </c>
      <c r="AU125" s="1"/>
      <c r="AV125" s="1" t="s">
        <v>46</v>
      </c>
    </row>
    <row r="126" spans="1:48" ht="15.75" customHeight="1" x14ac:dyDescent="0.3">
      <c r="A126" s="1">
        <v>133</v>
      </c>
      <c r="B126" s="27">
        <v>44566</v>
      </c>
      <c r="C126" s="1" t="s">
        <v>451</v>
      </c>
      <c r="D126" s="1" t="str">
        <f t="shared" si="5"/>
        <v>MTI-P-002</v>
      </c>
      <c r="E126" s="1" t="s">
        <v>394</v>
      </c>
      <c r="F126" s="1" t="s">
        <v>36</v>
      </c>
      <c r="G126" s="1">
        <v>25</v>
      </c>
      <c r="H126" s="1"/>
      <c r="I126" s="1" t="s">
        <v>68</v>
      </c>
      <c r="J126" s="1"/>
      <c r="K126" s="1">
        <v>61</v>
      </c>
      <c r="L126" s="1">
        <v>169.6</v>
      </c>
      <c r="M126" s="1">
        <f t="shared" si="6"/>
        <v>1.696</v>
      </c>
      <c r="N126" s="7">
        <f t="shared" si="3"/>
        <v>21.206946422214312</v>
      </c>
      <c r="O126" s="1" t="s">
        <v>39</v>
      </c>
      <c r="P126" s="1">
        <v>36.5</v>
      </c>
      <c r="Q126" s="1" t="s">
        <v>38</v>
      </c>
      <c r="R126" s="1" t="s">
        <v>65</v>
      </c>
      <c r="S126" s="1" t="s">
        <v>38</v>
      </c>
      <c r="T126" s="1" t="s">
        <v>50</v>
      </c>
      <c r="U126" s="1" t="s">
        <v>38</v>
      </c>
      <c r="V126" s="1" t="s">
        <v>43</v>
      </c>
      <c r="W126" s="1" t="s">
        <v>41</v>
      </c>
      <c r="X126" s="1"/>
      <c r="Y126" s="1" t="s">
        <v>41</v>
      </c>
      <c r="Z126" s="1"/>
      <c r="AA126" s="1" t="s">
        <v>38</v>
      </c>
      <c r="AB126" s="1" t="s">
        <v>336</v>
      </c>
      <c r="AC126" s="1" t="s">
        <v>41</v>
      </c>
      <c r="AD126" s="1"/>
      <c r="AE126" s="1" t="s">
        <v>41</v>
      </c>
      <c r="AF126" s="1"/>
      <c r="AG126" s="1" t="s">
        <v>38</v>
      </c>
      <c r="AH126" s="1" t="s">
        <v>41</v>
      </c>
      <c r="AI126" s="1" t="s">
        <v>41</v>
      </c>
      <c r="AJ126" s="1" t="s">
        <v>41</v>
      </c>
      <c r="AK126" s="1" t="s">
        <v>38</v>
      </c>
      <c r="AL126" s="1" t="s">
        <v>41</v>
      </c>
      <c r="AM126" s="1"/>
      <c r="AN126" s="1"/>
      <c r="AO126" s="1" t="s">
        <v>41</v>
      </c>
      <c r="AP126" s="50" t="s">
        <v>214</v>
      </c>
      <c r="AQ126" s="50" t="s">
        <v>45</v>
      </c>
      <c r="AR126" s="1">
        <v>2</v>
      </c>
      <c r="AS126" s="1"/>
      <c r="AT126" s="1">
        <v>1</v>
      </c>
      <c r="AU126" s="1"/>
      <c r="AV126" s="1" t="s">
        <v>58</v>
      </c>
    </row>
    <row r="127" spans="1:48" ht="15.75" customHeight="1" x14ac:dyDescent="0.3">
      <c r="A127" s="1">
        <v>134</v>
      </c>
      <c r="B127" s="16">
        <v>44566</v>
      </c>
      <c r="C127" s="1" t="s">
        <v>452</v>
      </c>
      <c r="D127" s="1" t="str">
        <f t="shared" si="5"/>
        <v>MTI-P-001</v>
      </c>
      <c r="E127" s="1" t="s">
        <v>453</v>
      </c>
      <c r="F127" s="1" t="s">
        <v>36</v>
      </c>
      <c r="G127" s="1">
        <v>48</v>
      </c>
      <c r="H127" s="1"/>
      <c r="I127" s="1" t="s">
        <v>68</v>
      </c>
      <c r="J127" s="1"/>
      <c r="K127" s="1">
        <v>50</v>
      </c>
      <c r="L127" s="1">
        <v>164.5</v>
      </c>
      <c r="M127" s="1">
        <f t="shared" si="6"/>
        <v>1.645</v>
      </c>
      <c r="N127" s="7">
        <f t="shared" si="3"/>
        <v>18.477286795206993</v>
      </c>
      <c r="O127" s="1" t="s">
        <v>39</v>
      </c>
      <c r="P127" s="1">
        <v>36.5</v>
      </c>
      <c r="Q127" s="1" t="s">
        <v>38</v>
      </c>
      <c r="R127" s="1" t="s">
        <v>103</v>
      </c>
      <c r="S127" s="1" t="s">
        <v>38</v>
      </c>
      <c r="T127" s="1" t="s">
        <v>454</v>
      </c>
      <c r="U127" s="1" t="s">
        <v>41</v>
      </c>
      <c r="V127" s="1"/>
      <c r="W127" s="1" t="s">
        <v>38</v>
      </c>
      <c r="X127" s="1" t="s">
        <v>50</v>
      </c>
      <c r="Y127" s="1" t="s">
        <v>41</v>
      </c>
      <c r="Z127" s="1"/>
      <c r="AA127" s="1" t="s">
        <v>41</v>
      </c>
      <c r="AB127" s="1"/>
      <c r="AC127" s="1" t="s">
        <v>41</v>
      </c>
      <c r="AD127" s="1"/>
      <c r="AE127" s="1" t="s">
        <v>455</v>
      </c>
      <c r="AF127" s="1"/>
      <c r="AG127" s="1" t="s">
        <v>38</v>
      </c>
      <c r="AH127" s="1" t="s">
        <v>38</v>
      </c>
      <c r="AI127" s="1" t="s">
        <v>41</v>
      </c>
      <c r="AJ127" s="1" t="s">
        <v>41</v>
      </c>
      <c r="AK127" s="1" t="s">
        <v>38</v>
      </c>
      <c r="AL127" s="1" t="s">
        <v>41</v>
      </c>
      <c r="AM127" s="1"/>
      <c r="AN127" s="1"/>
      <c r="AO127" s="1" t="s">
        <v>41</v>
      </c>
      <c r="AP127" s="50" t="s">
        <v>79</v>
      </c>
      <c r="AQ127" s="50" t="s">
        <v>57</v>
      </c>
      <c r="AR127" s="1">
        <v>2</v>
      </c>
      <c r="AS127" s="1"/>
      <c r="AT127" s="1">
        <v>1</v>
      </c>
      <c r="AU127" s="1"/>
      <c r="AV127" s="1" t="s">
        <v>58</v>
      </c>
    </row>
    <row r="128" spans="1:48" ht="15.75" customHeight="1" x14ac:dyDescent="0.3">
      <c r="A128" s="1">
        <v>136</v>
      </c>
      <c r="B128" s="16">
        <v>44880</v>
      </c>
      <c r="C128" s="1" t="s">
        <v>458</v>
      </c>
      <c r="D128" s="1" t="s">
        <v>458</v>
      </c>
      <c r="E128" s="1" t="s">
        <v>459</v>
      </c>
      <c r="F128" s="1" t="s">
        <v>36</v>
      </c>
      <c r="G128" s="1">
        <v>22</v>
      </c>
      <c r="H128" s="17" t="s">
        <v>460</v>
      </c>
      <c r="I128" s="1" t="s">
        <v>68</v>
      </c>
      <c r="J128" s="1"/>
      <c r="K128" s="1">
        <v>63</v>
      </c>
      <c r="L128" s="1">
        <v>161</v>
      </c>
      <c r="M128" s="1">
        <f t="shared" si="6"/>
        <v>1.61</v>
      </c>
      <c r="N128" s="7">
        <f t="shared" si="3"/>
        <v>24.304617877396701</v>
      </c>
      <c r="O128" s="1" t="s">
        <v>39</v>
      </c>
      <c r="P128" s="1">
        <v>36.6</v>
      </c>
      <c r="Q128" s="1" t="s">
        <v>38</v>
      </c>
      <c r="R128" s="1" t="s">
        <v>50</v>
      </c>
      <c r="S128" s="1" t="s">
        <v>41</v>
      </c>
      <c r="T128" s="1"/>
      <c r="U128" s="1" t="s">
        <v>41</v>
      </c>
      <c r="V128" s="1"/>
      <c r="W128" s="1" t="s">
        <v>38</v>
      </c>
      <c r="X128" s="1" t="s">
        <v>132</v>
      </c>
      <c r="Y128" s="1" t="s">
        <v>41</v>
      </c>
      <c r="Z128" s="1"/>
      <c r="AA128" s="1" t="s">
        <v>38</v>
      </c>
      <c r="AB128" s="1" t="s">
        <v>132</v>
      </c>
      <c r="AC128" s="1" t="s">
        <v>41</v>
      </c>
      <c r="AD128" s="1"/>
      <c r="AE128" s="1" t="s">
        <v>41</v>
      </c>
      <c r="AF128" s="1"/>
      <c r="AG128" s="1" t="s">
        <v>41</v>
      </c>
      <c r="AH128" s="1" t="s">
        <v>41</v>
      </c>
      <c r="AI128" s="1" t="s">
        <v>41</v>
      </c>
      <c r="AJ128" s="1" t="s">
        <v>41</v>
      </c>
      <c r="AK128" s="1" t="s">
        <v>41</v>
      </c>
      <c r="AL128" s="1" t="s">
        <v>41</v>
      </c>
      <c r="AM128" s="1" t="s">
        <v>41</v>
      </c>
      <c r="AN128" s="1" t="s">
        <v>69</v>
      </c>
      <c r="AO128" s="1" t="s">
        <v>41</v>
      </c>
      <c r="AP128" s="50" t="s">
        <v>79</v>
      </c>
      <c r="AQ128" s="50" t="s">
        <v>61</v>
      </c>
      <c r="AR128" s="1">
        <v>1</v>
      </c>
      <c r="AS128" s="1"/>
      <c r="AT128" s="1">
        <v>1</v>
      </c>
      <c r="AU128" s="1"/>
      <c r="AV128" s="1" t="s">
        <v>58</v>
      </c>
    </row>
    <row r="129" spans="1:48" ht="15.75" customHeight="1" x14ac:dyDescent="0.3">
      <c r="A129" s="1">
        <v>137</v>
      </c>
      <c r="B129" s="16">
        <v>44881</v>
      </c>
      <c r="C129" s="1" t="s">
        <v>461</v>
      </c>
      <c r="D129" s="1" t="s">
        <v>461</v>
      </c>
      <c r="E129" s="1" t="s">
        <v>462</v>
      </c>
      <c r="F129" s="1" t="s">
        <v>36</v>
      </c>
      <c r="G129" s="1">
        <v>28</v>
      </c>
      <c r="H129" s="17" t="s">
        <v>463</v>
      </c>
      <c r="I129" s="1" t="s">
        <v>37</v>
      </c>
      <c r="J129" s="1" t="s">
        <v>38</v>
      </c>
      <c r="K129" s="1">
        <v>67</v>
      </c>
      <c r="L129" s="1">
        <v>172</v>
      </c>
      <c r="M129" s="1">
        <f t="shared" si="6"/>
        <v>1.72</v>
      </c>
      <c r="N129" s="7">
        <f t="shared" si="3"/>
        <v>22.647376960519203</v>
      </c>
      <c r="O129" s="1" t="s">
        <v>39</v>
      </c>
      <c r="P129" s="1" t="s">
        <v>69</v>
      </c>
      <c r="Q129" s="1" t="s">
        <v>38</v>
      </c>
      <c r="R129" s="1" t="s">
        <v>51</v>
      </c>
      <c r="S129" s="1" t="s">
        <v>38</v>
      </c>
      <c r="T129" s="1" t="s">
        <v>51</v>
      </c>
      <c r="U129" s="1" t="s">
        <v>38</v>
      </c>
      <c r="V129" s="1" t="s">
        <v>51</v>
      </c>
      <c r="W129" s="1" t="s">
        <v>41</v>
      </c>
      <c r="X129" s="1"/>
      <c r="Y129" s="1" t="s">
        <v>41</v>
      </c>
      <c r="Z129" s="1"/>
      <c r="AA129" s="1" t="s">
        <v>41</v>
      </c>
      <c r="AB129" s="1"/>
      <c r="AC129" s="1" t="s">
        <v>41</v>
      </c>
      <c r="AD129" s="1"/>
      <c r="AE129" s="1" t="s">
        <v>41</v>
      </c>
      <c r="AF129" s="1"/>
      <c r="AG129" s="1" t="s">
        <v>41</v>
      </c>
      <c r="AH129" s="1" t="s">
        <v>41</v>
      </c>
      <c r="AI129" s="1" t="s">
        <v>41</v>
      </c>
      <c r="AJ129" s="1" t="s">
        <v>38</v>
      </c>
      <c r="AK129" s="1" t="s">
        <v>41</v>
      </c>
      <c r="AL129" s="1" t="s">
        <v>41</v>
      </c>
      <c r="AM129" s="1" t="s">
        <v>41</v>
      </c>
      <c r="AN129" s="1" t="s">
        <v>41</v>
      </c>
      <c r="AO129" s="1" t="s">
        <v>41</v>
      </c>
      <c r="AP129" s="50" t="s">
        <v>344</v>
      </c>
      <c r="AQ129" s="50" t="s">
        <v>72</v>
      </c>
      <c r="AR129" s="1">
        <v>2</v>
      </c>
      <c r="AS129" s="1"/>
      <c r="AT129" s="1">
        <v>2</v>
      </c>
      <c r="AU129" s="1"/>
      <c r="AV129" s="1" t="s">
        <v>69</v>
      </c>
    </row>
    <row r="130" spans="1:48" ht="15.75" customHeight="1" x14ac:dyDescent="0.3">
      <c r="A130" s="1">
        <v>138</v>
      </c>
      <c r="B130" s="16">
        <v>44872</v>
      </c>
      <c r="C130" s="1" t="s">
        <v>464</v>
      </c>
      <c r="D130" s="1" t="s">
        <v>464</v>
      </c>
      <c r="E130" s="1" t="s">
        <v>465</v>
      </c>
      <c r="F130" s="1" t="s">
        <v>36</v>
      </c>
      <c r="G130" s="1">
        <v>42</v>
      </c>
      <c r="H130" s="17" t="s">
        <v>466</v>
      </c>
      <c r="I130" s="1" t="s">
        <v>68</v>
      </c>
      <c r="J130" s="1"/>
      <c r="K130" s="1">
        <v>58</v>
      </c>
      <c r="L130" s="1">
        <v>174</v>
      </c>
      <c r="M130" s="1">
        <f t="shared" si="6"/>
        <v>1.74</v>
      </c>
      <c r="N130" s="7">
        <f t="shared" si="3"/>
        <v>19.157088122605362</v>
      </c>
      <c r="O130" s="1" t="s">
        <v>39</v>
      </c>
      <c r="P130" s="1">
        <v>37</v>
      </c>
      <c r="Q130" s="1" t="s">
        <v>38</v>
      </c>
      <c r="R130" s="1" t="s">
        <v>51</v>
      </c>
      <c r="S130" s="1" t="s">
        <v>38</v>
      </c>
      <c r="T130" s="1" t="s">
        <v>51</v>
      </c>
      <c r="U130" s="1" t="s">
        <v>41</v>
      </c>
      <c r="V130" s="1"/>
      <c r="W130" s="1" t="s">
        <v>38</v>
      </c>
      <c r="X130" s="1" t="s">
        <v>53</v>
      </c>
      <c r="Y130" s="1" t="s">
        <v>41</v>
      </c>
      <c r="Z130" s="1"/>
      <c r="AA130" s="1" t="s">
        <v>41</v>
      </c>
      <c r="AB130" s="1"/>
      <c r="AC130" s="1" t="s">
        <v>41</v>
      </c>
      <c r="AD130" s="1"/>
      <c r="AE130" s="1" t="s">
        <v>38</v>
      </c>
      <c r="AF130" s="1" t="s">
        <v>467</v>
      </c>
      <c r="AG130" s="1" t="s">
        <v>41</v>
      </c>
      <c r="AH130" s="1" t="s">
        <v>41</v>
      </c>
      <c r="AI130" s="1" t="s">
        <v>41</v>
      </c>
      <c r="AJ130" s="1" t="s">
        <v>38</v>
      </c>
      <c r="AK130" s="1" t="s">
        <v>38</v>
      </c>
      <c r="AL130" s="1" t="s">
        <v>41</v>
      </c>
      <c r="AM130" s="1" t="s">
        <v>41</v>
      </c>
      <c r="AN130" s="1" t="s">
        <v>41</v>
      </c>
      <c r="AO130" s="1" t="s">
        <v>41</v>
      </c>
      <c r="AP130" s="50" t="s">
        <v>468</v>
      </c>
      <c r="AQ130" s="50" t="s">
        <v>72</v>
      </c>
      <c r="AR130" s="1">
        <v>2</v>
      </c>
      <c r="AS130" s="1"/>
      <c r="AT130" s="1">
        <v>1</v>
      </c>
      <c r="AU130" s="1"/>
      <c r="AV130" s="1" t="s">
        <v>58</v>
      </c>
    </row>
    <row r="131" spans="1:48" ht="15.75" customHeight="1" x14ac:dyDescent="0.3">
      <c r="A131" s="1">
        <v>139</v>
      </c>
      <c r="B131" s="16">
        <v>44880</v>
      </c>
      <c r="C131" s="1" t="s">
        <v>469</v>
      </c>
      <c r="D131" s="1" t="s">
        <v>469</v>
      </c>
      <c r="E131" s="1" t="s">
        <v>459</v>
      </c>
      <c r="F131" s="1" t="s">
        <v>36</v>
      </c>
      <c r="G131" s="1">
        <v>26</v>
      </c>
      <c r="H131" s="17" t="s">
        <v>470</v>
      </c>
      <c r="I131" s="1" t="s">
        <v>68</v>
      </c>
      <c r="J131" s="1"/>
      <c r="K131" s="1">
        <v>45</v>
      </c>
      <c r="L131" s="1">
        <v>169</v>
      </c>
      <c r="M131" s="1">
        <f t="shared" si="6"/>
        <v>1.69</v>
      </c>
      <c r="N131" s="7">
        <f t="shared" ref="N131:N194" si="7">K131/(M131*M131)</f>
        <v>15.755750849059909</v>
      </c>
      <c r="O131" s="1" t="s">
        <v>39</v>
      </c>
      <c r="P131" s="1"/>
      <c r="Q131" s="1" t="s">
        <v>38</v>
      </c>
      <c r="R131" s="1" t="s">
        <v>52</v>
      </c>
      <c r="S131" s="1" t="s">
        <v>38</v>
      </c>
      <c r="T131" s="1" t="s">
        <v>132</v>
      </c>
      <c r="U131" s="1" t="s">
        <v>38</v>
      </c>
      <c r="V131" s="1" t="s">
        <v>50</v>
      </c>
      <c r="W131" s="1" t="s">
        <v>38</v>
      </c>
      <c r="X131" s="1" t="s">
        <v>50</v>
      </c>
      <c r="Y131" s="1" t="s">
        <v>38</v>
      </c>
      <c r="Z131" s="1" t="s">
        <v>50</v>
      </c>
      <c r="AA131" s="1" t="s">
        <v>38</v>
      </c>
      <c r="AB131" s="1" t="s">
        <v>50</v>
      </c>
      <c r="AC131" s="1" t="s">
        <v>41</v>
      </c>
      <c r="AD131" s="1"/>
      <c r="AE131" s="1" t="s">
        <v>41</v>
      </c>
      <c r="AF131" s="1"/>
      <c r="AG131" s="1" t="s">
        <v>38</v>
      </c>
      <c r="AH131" s="1" t="s">
        <v>41</v>
      </c>
      <c r="AI131" s="1" t="s">
        <v>41</v>
      </c>
      <c r="AJ131" s="1" t="s">
        <v>41</v>
      </c>
      <c r="AK131" s="1" t="s">
        <v>41</v>
      </c>
      <c r="AL131" s="1" t="s">
        <v>41</v>
      </c>
      <c r="AM131" s="1" t="s">
        <v>41</v>
      </c>
      <c r="AN131" s="1" t="s">
        <v>41</v>
      </c>
      <c r="AO131" s="1" t="s">
        <v>41</v>
      </c>
      <c r="AP131" s="50" t="s">
        <v>69</v>
      </c>
      <c r="AQ131" s="50" t="s">
        <v>61</v>
      </c>
      <c r="AR131" s="1">
        <v>2</v>
      </c>
      <c r="AS131" s="1"/>
      <c r="AT131" s="1">
        <v>1</v>
      </c>
      <c r="AU131" s="1"/>
      <c r="AV131" s="1" t="s">
        <v>58</v>
      </c>
    </row>
    <row r="132" spans="1:48" ht="15.75" customHeight="1" x14ac:dyDescent="0.3">
      <c r="A132" s="1">
        <v>140</v>
      </c>
      <c r="B132" s="16">
        <v>44872</v>
      </c>
      <c r="C132" s="1" t="s">
        <v>471</v>
      </c>
      <c r="D132" s="1" t="s">
        <v>471</v>
      </c>
      <c r="E132" s="1" t="s">
        <v>472</v>
      </c>
      <c r="F132" s="1" t="s">
        <v>87</v>
      </c>
      <c r="G132" s="1">
        <v>38</v>
      </c>
      <c r="H132" s="17" t="s">
        <v>473</v>
      </c>
      <c r="I132" s="1" t="s">
        <v>37</v>
      </c>
      <c r="J132" s="1" t="s">
        <v>38</v>
      </c>
      <c r="K132" s="1">
        <v>55</v>
      </c>
      <c r="L132" s="1">
        <v>173</v>
      </c>
      <c r="M132" s="1">
        <f t="shared" si="6"/>
        <v>1.73</v>
      </c>
      <c r="N132" s="7">
        <f t="shared" si="7"/>
        <v>18.376825152861773</v>
      </c>
      <c r="O132" s="1" t="s">
        <v>39</v>
      </c>
      <c r="P132" s="1">
        <v>36.700000000000003</v>
      </c>
      <c r="Q132" s="1" t="s">
        <v>41</v>
      </c>
      <c r="R132" s="1"/>
      <c r="S132" s="1" t="s">
        <v>41</v>
      </c>
      <c r="T132" s="1"/>
      <c r="U132" s="1" t="s">
        <v>38</v>
      </c>
      <c r="V132" s="1" t="s">
        <v>53</v>
      </c>
      <c r="W132" s="1" t="s">
        <v>38</v>
      </c>
      <c r="X132" s="1" t="s">
        <v>65</v>
      </c>
      <c r="Y132" s="1" t="s">
        <v>38</v>
      </c>
      <c r="Z132" s="1" t="s">
        <v>53</v>
      </c>
      <c r="AA132" s="1" t="s">
        <v>41</v>
      </c>
      <c r="AB132" s="1"/>
      <c r="AC132" s="1" t="s">
        <v>38</v>
      </c>
      <c r="AD132" s="1" t="s">
        <v>65</v>
      </c>
      <c r="AE132" s="1" t="s">
        <v>41</v>
      </c>
      <c r="AF132" s="1"/>
      <c r="AG132" s="1" t="s">
        <v>41</v>
      </c>
      <c r="AH132" s="1" t="s">
        <v>41</v>
      </c>
      <c r="AI132" s="1" t="s">
        <v>41</v>
      </c>
      <c r="AJ132" s="1" t="s">
        <v>41</v>
      </c>
      <c r="AK132" s="1" t="s">
        <v>41</v>
      </c>
      <c r="AL132" s="1" t="s">
        <v>41</v>
      </c>
      <c r="AM132" s="1" t="s">
        <v>41</v>
      </c>
      <c r="AN132" s="1" t="s">
        <v>41</v>
      </c>
      <c r="AO132" s="1" t="s">
        <v>41</v>
      </c>
      <c r="AP132" s="50" t="s">
        <v>69</v>
      </c>
      <c r="AQ132" s="50" t="s">
        <v>57</v>
      </c>
      <c r="AR132" s="1">
        <v>5</v>
      </c>
      <c r="AS132" s="1"/>
      <c r="AT132" s="1">
        <v>2</v>
      </c>
      <c r="AU132" s="1"/>
      <c r="AV132" s="1" t="s">
        <v>58</v>
      </c>
    </row>
    <row r="133" spans="1:48" ht="15.75" customHeight="1" x14ac:dyDescent="0.3">
      <c r="A133" s="1">
        <v>141</v>
      </c>
      <c r="B133" s="16">
        <v>44872</v>
      </c>
      <c r="C133" s="1" t="s">
        <v>474</v>
      </c>
      <c r="D133" s="1" t="s">
        <v>474</v>
      </c>
      <c r="E133" s="1" t="s">
        <v>475</v>
      </c>
      <c r="F133" s="1" t="s">
        <v>36</v>
      </c>
      <c r="G133" s="1">
        <v>28</v>
      </c>
      <c r="H133" s="28" t="s">
        <v>476</v>
      </c>
      <c r="I133" s="29" t="s">
        <v>69</v>
      </c>
      <c r="J133" s="1"/>
      <c r="K133" s="1">
        <v>60</v>
      </c>
      <c r="L133" s="1">
        <v>157</v>
      </c>
      <c r="M133" s="1">
        <f t="shared" si="6"/>
        <v>1.57</v>
      </c>
      <c r="N133" s="7">
        <f t="shared" si="7"/>
        <v>24.341758286340216</v>
      </c>
      <c r="O133" s="1" t="s">
        <v>39</v>
      </c>
      <c r="P133" s="1" t="s">
        <v>69</v>
      </c>
      <c r="Q133" s="1" t="s">
        <v>38</v>
      </c>
      <c r="R133" s="1" t="s">
        <v>132</v>
      </c>
      <c r="S133" s="1" t="s">
        <v>41</v>
      </c>
      <c r="T133" s="1"/>
      <c r="U133" s="1" t="s">
        <v>41</v>
      </c>
      <c r="V133" s="1"/>
      <c r="W133" s="1" t="s">
        <v>41</v>
      </c>
      <c r="X133" s="1"/>
      <c r="Y133" s="1" t="s">
        <v>41</v>
      </c>
      <c r="Z133" s="1"/>
      <c r="AA133" s="1" t="s">
        <v>41</v>
      </c>
      <c r="AB133" s="1"/>
      <c r="AC133" s="1" t="s">
        <v>41</v>
      </c>
      <c r="AD133" s="1"/>
      <c r="AE133" s="1" t="s">
        <v>41</v>
      </c>
      <c r="AF133" s="1"/>
      <c r="AG133" s="1" t="s">
        <v>41</v>
      </c>
      <c r="AH133" s="1" t="s">
        <v>41</v>
      </c>
      <c r="AI133" s="1" t="s">
        <v>41</v>
      </c>
      <c r="AJ133" s="1" t="s">
        <v>41</v>
      </c>
      <c r="AK133" s="1" t="s">
        <v>41</v>
      </c>
      <c r="AL133" s="1" t="s">
        <v>41</v>
      </c>
      <c r="AM133" s="1" t="s">
        <v>41</v>
      </c>
      <c r="AN133" s="1" t="s">
        <v>41</v>
      </c>
      <c r="AO133" s="1" t="s">
        <v>41</v>
      </c>
      <c r="AP133" s="50" t="s">
        <v>69</v>
      </c>
      <c r="AQ133" s="50" t="s">
        <v>61</v>
      </c>
      <c r="AR133" s="1">
        <v>3</v>
      </c>
      <c r="AS133" s="1"/>
      <c r="AT133" s="1">
        <v>2</v>
      </c>
      <c r="AU133" s="1"/>
      <c r="AV133" s="1" t="s">
        <v>58</v>
      </c>
    </row>
    <row r="134" spans="1:48" ht="15.75" customHeight="1" x14ac:dyDescent="0.3">
      <c r="A134" s="1">
        <v>142</v>
      </c>
      <c r="B134" s="16">
        <v>44873</v>
      </c>
      <c r="C134" s="1" t="s">
        <v>477</v>
      </c>
      <c r="D134" s="1" t="s">
        <v>477</v>
      </c>
      <c r="E134" s="1" t="s">
        <v>478</v>
      </c>
      <c r="F134" s="1" t="s">
        <v>87</v>
      </c>
      <c r="G134" s="1">
        <v>29</v>
      </c>
      <c r="H134" s="17" t="s">
        <v>479</v>
      </c>
      <c r="I134" s="1" t="s">
        <v>37</v>
      </c>
      <c r="J134" s="1" t="s">
        <v>38</v>
      </c>
      <c r="K134" s="1">
        <v>53</v>
      </c>
      <c r="L134" s="1">
        <v>162</v>
      </c>
      <c r="M134" s="1">
        <f t="shared" si="6"/>
        <v>1.62</v>
      </c>
      <c r="N134" s="7">
        <f t="shared" si="7"/>
        <v>20.195092211553114</v>
      </c>
      <c r="O134" s="1" t="s">
        <v>39</v>
      </c>
      <c r="P134" s="1">
        <v>36.700000000000003</v>
      </c>
      <c r="Q134" s="1" t="s">
        <v>38</v>
      </c>
      <c r="R134" s="1" t="s">
        <v>65</v>
      </c>
      <c r="S134" s="1" t="s">
        <v>38</v>
      </c>
      <c r="T134" s="1" t="s">
        <v>53</v>
      </c>
      <c r="U134" s="1" t="s">
        <v>38</v>
      </c>
      <c r="V134" s="1" t="s">
        <v>53</v>
      </c>
      <c r="W134" s="1" t="s">
        <v>41</v>
      </c>
      <c r="X134" s="1"/>
      <c r="Y134" s="1" t="s">
        <v>38</v>
      </c>
      <c r="Z134" s="1" t="s">
        <v>53</v>
      </c>
      <c r="AA134" s="1" t="s">
        <v>38</v>
      </c>
      <c r="AB134" s="1" t="s">
        <v>53</v>
      </c>
      <c r="AC134" s="1" t="s">
        <v>41</v>
      </c>
      <c r="AD134" s="1"/>
      <c r="AE134" s="1" t="s">
        <v>480</v>
      </c>
      <c r="AF134" s="1"/>
      <c r="AG134" s="1" t="s">
        <v>41</v>
      </c>
      <c r="AH134" s="1" t="s">
        <v>41</v>
      </c>
      <c r="AI134" s="1" t="s">
        <v>41</v>
      </c>
      <c r="AJ134" s="1" t="s">
        <v>41</v>
      </c>
      <c r="AK134" s="1" t="s">
        <v>41</v>
      </c>
      <c r="AL134" s="1" t="s">
        <v>41</v>
      </c>
      <c r="AM134" s="1" t="s">
        <v>41</v>
      </c>
      <c r="AN134" s="1" t="s">
        <v>41</v>
      </c>
      <c r="AO134" s="1" t="s">
        <v>41</v>
      </c>
      <c r="AP134" s="50" t="s">
        <v>118</v>
      </c>
      <c r="AQ134" s="50" t="s">
        <v>61</v>
      </c>
      <c r="AR134" s="1">
        <v>1</v>
      </c>
      <c r="AS134" s="1"/>
      <c r="AT134" s="1">
        <v>1</v>
      </c>
      <c r="AU134" s="1"/>
      <c r="AV134" s="1" t="s">
        <v>58</v>
      </c>
    </row>
    <row r="135" spans="1:48" ht="15.75" customHeight="1" x14ac:dyDescent="0.3">
      <c r="A135" s="1">
        <v>98</v>
      </c>
      <c r="B135" s="19">
        <v>44852</v>
      </c>
      <c r="C135" s="1" t="s">
        <v>369</v>
      </c>
      <c r="D135" s="1" t="str">
        <f>MID(C135, 4, LEN(C135)-3) &amp; "-" &amp; LEFT(C135, 3)</f>
        <v>MTI-P-033</v>
      </c>
      <c r="E135" s="1" t="s">
        <v>370</v>
      </c>
      <c r="F135" s="1" t="s">
        <v>36</v>
      </c>
      <c r="G135" s="1">
        <v>21</v>
      </c>
      <c r="H135" s="1"/>
      <c r="I135" s="1" t="s">
        <v>68</v>
      </c>
      <c r="J135" s="1"/>
      <c r="K135" s="1">
        <v>52</v>
      </c>
      <c r="L135" s="1">
        <v>163</v>
      </c>
      <c r="M135" s="1">
        <f t="shared" si="6"/>
        <v>1.63</v>
      </c>
      <c r="N135" s="7">
        <f t="shared" si="7"/>
        <v>19.571681282697881</v>
      </c>
      <c r="O135" s="1" t="s">
        <v>359</v>
      </c>
      <c r="P135" s="1">
        <v>37</v>
      </c>
      <c r="Q135" s="1" t="s">
        <v>38</v>
      </c>
      <c r="R135" s="1" t="s">
        <v>65</v>
      </c>
      <c r="S135" s="1" t="s">
        <v>38</v>
      </c>
      <c r="T135" s="1" t="s">
        <v>65</v>
      </c>
      <c r="U135" s="1" t="s">
        <v>38</v>
      </c>
      <c r="V135" s="1" t="s">
        <v>65</v>
      </c>
      <c r="W135" s="1" t="s">
        <v>38</v>
      </c>
      <c r="X135" s="1" t="s">
        <v>65</v>
      </c>
      <c r="Y135" s="1" t="s">
        <v>41</v>
      </c>
      <c r="Z135" s="1"/>
      <c r="AA135" s="1" t="s">
        <v>38</v>
      </c>
      <c r="AB135" s="1" t="s">
        <v>65</v>
      </c>
      <c r="AC135" s="1" t="s">
        <v>41</v>
      </c>
      <c r="AD135" s="1"/>
      <c r="AE135" s="1" t="s">
        <v>371</v>
      </c>
      <c r="AF135" s="1"/>
      <c r="AG135" s="1" t="s">
        <v>38</v>
      </c>
      <c r="AH135" s="1" t="s">
        <v>41</v>
      </c>
      <c r="AI135" s="1" t="s">
        <v>41</v>
      </c>
      <c r="AJ135" s="1" t="s">
        <v>41</v>
      </c>
      <c r="AK135" s="1" t="s">
        <v>41</v>
      </c>
      <c r="AL135" s="1" t="s">
        <v>41</v>
      </c>
      <c r="AM135" s="1"/>
      <c r="AN135" s="1"/>
      <c r="AO135" s="1" t="s">
        <v>41</v>
      </c>
      <c r="AP135" s="50" t="s">
        <v>372</v>
      </c>
      <c r="AQ135" s="50" t="s">
        <v>61</v>
      </c>
      <c r="AR135" s="1">
        <v>6</v>
      </c>
      <c r="AS135" s="1"/>
      <c r="AT135" s="1">
        <v>4</v>
      </c>
      <c r="AU135" s="1"/>
      <c r="AV135" s="1" t="s">
        <v>46</v>
      </c>
    </row>
    <row r="136" spans="1:48" ht="15.75" customHeight="1" x14ac:dyDescent="0.3">
      <c r="A136" s="1">
        <v>144</v>
      </c>
      <c r="B136" s="16">
        <v>44880</v>
      </c>
      <c r="C136" s="1" t="s">
        <v>482</v>
      </c>
      <c r="D136" s="1" t="s">
        <v>482</v>
      </c>
      <c r="E136" s="1" t="s">
        <v>483</v>
      </c>
      <c r="F136" s="1" t="s">
        <v>36</v>
      </c>
      <c r="G136" s="1">
        <v>33</v>
      </c>
      <c r="H136" s="17" t="s">
        <v>484</v>
      </c>
      <c r="I136" s="1" t="s">
        <v>68</v>
      </c>
      <c r="J136" s="1"/>
      <c r="K136" s="1">
        <v>45</v>
      </c>
      <c r="L136" s="1">
        <v>158</v>
      </c>
      <c r="M136" s="1">
        <f t="shared" si="6"/>
        <v>1.58</v>
      </c>
      <c r="N136" s="7">
        <f t="shared" si="7"/>
        <v>18.025957378625218</v>
      </c>
      <c r="O136" s="1" t="s">
        <v>39</v>
      </c>
      <c r="P136" s="1">
        <v>36.6</v>
      </c>
      <c r="Q136" s="1" t="s">
        <v>38</v>
      </c>
      <c r="R136" s="1" t="s">
        <v>64</v>
      </c>
      <c r="S136" s="1" t="s">
        <v>41</v>
      </c>
      <c r="T136" s="1"/>
      <c r="U136" s="1" t="s">
        <v>38</v>
      </c>
      <c r="V136" s="1" t="s">
        <v>65</v>
      </c>
      <c r="W136" s="1" t="s">
        <v>38</v>
      </c>
      <c r="X136" s="1" t="s">
        <v>65</v>
      </c>
      <c r="Y136" s="1" t="s">
        <v>41</v>
      </c>
      <c r="Z136" s="1"/>
      <c r="AA136" s="1" t="s">
        <v>38</v>
      </c>
      <c r="AB136" s="1" t="s">
        <v>65</v>
      </c>
      <c r="AC136" s="1" t="s">
        <v>41</v>
      </c>
      <c r="AD136" s="1"/>
      <c r="AE136" s="1" t="s">
        <v>41</v>
      </c>
      <c r="AF136" s="1"/>
      <c r="AG136" s="1" t="s">
        <v>38</v>
      </c>
      <c r="AH136" s="1" t="s">
        <v>41</v>
      </c>
      <c r="AI136" s="1" t="s">
        <v>41</v>
      </c>
      <c r="AJ136" s="1" t="s">
        <v>41</v>
      </c>
      <c r="AK136" s="1" t="s">
        <v>41</v>
      </c>
      <c r="AL136" s="1" t="s">
        <v>41</v>
      </c>
      <c r="AM136" s="1" t="s">
        <v>41</v>
      </c>
      <c r="AN136" s="1" t="s">
        <v>41</v>
      </c>
      <c r="AO136" s="1" t="s">
        <v>41</v>
      </c>
      <c r="AP136" s="50" t="s">
        <v>485</v>
      </c>
      <c r="AQ136" s="50" t="s">
        <v>99</v>
      </c>
      <c r="AR136" s="1">
        <v>1</v>
      </c>
      <c r="AS136" s="1"/>
      <c r="AT136" s="1">
        <v>1</v>
      </c>
      <c r="AU136" s="1"/>
      <c r="AV136" s="1" t="s">
        <v>58</v>
      </c>
    </row>
    <row r="137" spans="1:48" ht="15.75" customHeight="1" x14ac:dyDescent="0.3">
      <c r="A137" s="1">
        <v>145</v>
      </c>
      <c r="B137" s="16">
        <v>44880</v>
      </c>
      <c r="C137" s="1" t="s">
        <v>486</v>
      </c>
      <c r="D137" s="1" t="s">
        <v>486</v>
      </c>
      <c r="E137" s="1" t="s">
        <v>487</v>
      </c>
      <c r="F137" s="1" t="s">
        <v>36</v>
      </c>
      <c r="G137" s="1">
        <v>34</v>
      </c>
      <c r="H137" s="17" t="s">
        <v>488</v>
      </c>
      <c r="I137" s="1" t="s">
        <v>68</v>
      </c>
      <c r="J137" s="1"/>
      <c r="K137" s="1">
        <v>62</v>
      </c>
      <c r="L137" s="1">
        <v>183</v>
      </c>
      <c r="M137" s="1">
        <f t="shared" si="6"/>
        <v>1.83</v>
      </c>
      <c r="N137" s="7">
        <f t="shared" si="7"/>
        <v>18.513541759980885</v>
      </c>
      <c r="O137" s="1" t="s">
        <v>39</v>
      </c>
      <c r="P137" s="1" t="s">
        <v>69</v>
      </c>
      <c r="Q137" s="1" t="s">
        <v>38</v>
      </c>
      <c r="R137" s="1" t="s">
        <v>50</v>
      </c>
      <c r="S137" s="1" t="s">
        <v>38</v>
      </c>
      <c r="T137" s="1" t="s">
        <v>50</v>
      </c>
      <c r="U137" s="1" t="s">
        <v>38</v>
      </c>
      <c r="V137" s="1" t="s">
        <v>50</v>
      </c>
      <c r="W137" s="1" t="s">
        <v>38</v>
      </c>
      <c r="X137" s="1" t="s">
        <v>50</v>
      </c>
      <c r="Y137" s="1" t="s">
        <v>41</v>
      </c>
      <c r="Z137" s="1"/>
      <c r="AA137" s="1" t="s">
        <v>38</v>
      </c>
      <c r="AB137" s="1" t="s">
        <v>65</v>
      </c>
      <c r="AC137" s="1" t="s">
        <v>41</v>
      </c>
      <c r="AD137" s="1"/>
      <c r="AE137" s="1" t="s">
        <v>41</v>
      </c>
      <c r="AF137" s="1"/>
      <c r="AG137" s="1" t="s">
        <v>41</v>
      </c>
      <c r="AH137" s="1" t="s">
        <v>41</v>
      </c>
      <c r="AI137" s="1" t="s">
        <v>41</v>
      </c>
      <c r="AJ137" s="1" t="s">
        <v>41</v>
      </c>
      <c r="AK137" s="1" t="s">
        <v>41</v>
      </c>
      <c r="AL137" s="1" t="s">
        <v>41</v>
      </c>
      <c r="AM137" s="1" t="s">
        <v>41</v>
      </c>
      <c r="AN137" s="1" t="s">
        <v>41</v>
      </c>
      <c r="AO137" s="1" t="s">
        <v>41</v>
      </c>
      <c r="AP137" s="50" t="s">
        <v>214</v>
      </c>
      <c r="AQ137" s="50" t="s">
        <v>45</v>
      </c>
      <c r="AR137" s="1">
        <v>1</v>
      </c>
      <c r="AS137" s="1"/>
      <c r="AT137" s="1">
        <v>1</v>
      </c>
      <c r="AU137" s="1"/>
      <c r="AV137" s="1" t="s">
        <v>58</v>
      </c>
    </row>
    <row r="138" spans="1:48" ht="15.75" customHeight="1" x14ac:dyDescent="0.3">
      <c r="A138" s="1">
        <v>146</v>
      </c>
      <c r="B138" s="16">
        <v>44880</v>
      </c>
      <c r="C138" s="1" t="s">
        <v>489</v>
      </c>
      <c r="D138" s="1" t="s">
        <v>489</v>
      </c>
      <c r="E138" s="1" t="s">
        <v>490</v>
      </c>
      <c r="F138" s="1" t="s">
        <v>36</v>
      </c>
      <c r="G138" s="1">
        <v>37</v>
      </c>
      <c r="H138" s="17" t="s">
        <v>491</v>
      </c>
      <c r="I138" s="1" t="s">
        <v>68</v>
      </c>
      <c r="J138" s="1"/>
      <c r="K138" s="1">
        <v>52</v>
      </c>
      <c r="L138" s="1">
        <v>172</v>
      </c>
      <c r="M138" s="1">
        <f t="shared" si="6"/>
        <v>1.72</v>
      </c>
      <c r="N138" s="7">
        <f t="shared" si="7"/>
        <v>17.577068685776098</v>
      </c>
      <c r="O138" s="1" t="s">
        <v>39</v>
      </c>
      <c r="P138" s="1" t="s">
        <v>69</v>
      </c>
      <c r="Q138" s="1" t="s">
        <v>38</v>
      </c>
      <c r="R138" s="1" t="s">
        <v>132</v>
      </c>
      <c r="S138" s="1" t="s">
        <v>38</v>
      </c>
      <c r="T138" s="1" t="s">
        <v>65</v>
      </c>
      <c r="U138" s="1" t="s">
        <v>38</v>
      </c>
      <c r="V138" s="1" t="s">
        <v>132</v>
      </c>
      <c r="W138" s="1" t="s">
        <v>41</v>
      </c>
      <c r="X138" s="1"/>
      <c r="Y138" s="1" t="s">
        <v>38</v>
      </c>
      <c r="Z138" s="1" t="s">
        <v>65</v>
      </c>
      <c r="AA138" s="1" t="s">
        <v>38</v>
      </c>
      <c r="AB138" s="1" t="s">
        <v>65</v>
      </c>
      <c r="AC138" s="1" t="s">
        <v>41</v>
      </c>
      <c r="AD138" s="1"/>
      <c r="AE138" s="1" t="s">
        <v>294</v>
      </c>
      <c r="AF138" s="1"/>
      <c r="AG138" s="1" t="s">
        <v>41</v>
      </c>
      <c r="AH138" s="1" t="s">
        <v>41</v>
      </c>
      <c r="AI138" s="1" t="s">
        <v>41</v>
      </c>
      <c r="AJ138" s="1" t="s">
        <v>41</v>
      </c>
      <c r="AK138" s="1" t="s">
        <v>41</v>
      </c>
      <c r="AL138" s="1" t="s">
        <v>41</v>
      </c>
      <c r="AM138" s="1" t="s">
        <v>41</v>
      </c>
      <c r="AN138" s="1" t="s">
        <v>41</v>
      </c>
      <c r="AO138" s="1" t="s">
        <v>41</v>
      </c>
      <c r="AP138" s="50" t="s">
        <v>118</v>
      </c>
      <c r="AQ138" s="50" t="s">
        <v>61</v>
      </c>
      <c r="AR138" s="1">
        <v>1</v>
      </c>
      <c r="AS138" s="1"/>
      <c r="AT138" s="1">
        <v>1</v>
      </c>
      <c r="AU138" s="1"/>
      <c r="AV138" s="1" t="s">
        <v>58</v>
      </c>
    </row>
    <row r="139" spans="1:48" ht="15.75" customHeight="1" x14ac:dyDescent="0.3">
      <c r="A139" s="1">
        <v>147</v>
      </c>
      <c r="B139" s="16">
        <v>44880</v>
      </c>
      <c r="C139" s="1" t="s">
        <v>492</v>
      </c>
      <c r="D139" s="1" t="s">
        <v>492</v>
      </c>
      <c r="E139" s="1" t="s">
        <v>493</v>
      </c>
      <c r="F139" s="1" t="s">
        <v>36</v>
      </c>
      <c r="G139" s="1">
        <v>32</v>
      </c>
      <c r="H139" s="17" t="s">
        <v>494</v>
      </c>
      <c r="I139" s="1" t="s">
        <v>37</v>
      </c>
      <c r="J139" s="1" t="s">
        <v>38</v>
      </c>
      <c r="K139" s="1">
        <v>58</v>
      </c>
      <c r="L139" s="1">
        <v>164</v>
      </c>
      <c r="M139" s="1">
        <f t="shared" si="6"/>
        <v>1.64</v>
      </c>
      <c r="N139" s="7">
        <f t="shared" si="7"/>
        <v>21.564544913741823</v>
      </c>
      <c r="O139" s="1" t="s">
        <v>39</v>
      </c>
      <c r="P139" s="1">
        <v>36.6</v>
      </c>
      <c r="Q139" s="1" t="s">
        <v>38</v>
      </c>
      <c r="R139" s="1" t="s">
        <v>132</v>
      </c>
      <c r="S139" s="1" t="s">
        <v>38</v>
      </c>
      <c r="T139" s="1" t="s">
        <v>65</v>
      </c>
      <c r="U139" s="1" t="s">
        <v>38</v>
      </c>
      <c r="V139" s="1" t="s">
        <v>132</v>
      </c>
      <c r="W139" s="1" t="s">
        <v>38</v>
      </c>
      <c r="X139" s="1" t="s">
        <v>132</v>
      </c>
      <c r="Y139" s="1" t="s">
        <v>41</v>
      </c>
      <c r="Z139" s="1"/>
      <c r="AA139" s="1" t="s">
        <v>41</v>
      </c>
      <c r="AB139" s="1"/>
      <c r="AC139" s="1" t="s">
        <v>41</v>
      </c>
      <c r="AD139" s="1"/>
      <c r="AE139" s="1" t="s">
        <v>41</v>
      </c>
      <c r="AF139" s="1"/>
      <c r="AG139" s="1" t="s">
        <v>41</v>
      </c>
      <c r="AH139" s="1" t="s">
        <v>41</v>
      </c>
      <c r="AI139" s="1" t="s">
        <v>41</v>
      </c>
      <c r="AJ139" s="1" t="s">
        <v>41</v>
      </c>
      <c r="AK139" s="1" t="s">
        <v>38</v>
      </c>
      <c r="AL139" s="1" t="s">
        <v>41</v>
      </c>
      <c r="AM139" s="1" t="s">
        <v>41</v>
      </c>
      <c r="AN139" s="1" t="s">
        <v>41</v>
      </c>
      <c r="AO139" s="1" t="s">
        <v>41</v>
      </c>
      <c r="AP139" s="50" t="s">
        <v>118</v>
      </c>
      <c r="AQ139" s="50" t="s">
        <v>99</v>
      </c>
      <c r="AR139" s="1">
        <v>2</v>
      </c>
      <c r="AS139" s="1"/>
      <c r="AT139" s="1">
        <v>2</v>
      </c>
      <c r="AU139" s="1"/>
      <c r="AV139" s="1" t="s">
        <v>58</v>
      </c>
    </row>
    <row r="140" spans="1:48" ht="15.75" customHeight="1" x14ac:dyDescent="0.3">
      <c r="A140" s="1">
        <v>148</v>
      </c>
      <c r="B140" s="16">
        <v>44879</v>
      </c>
      <c r="C140" s="1" t="s">
        <v>495</v>
      </c>
      <c r="D140" s="1" t="s">
        <v>495</v>
      </c>
      <c r="E140" s="1" t="s">
        <v>496</v>
      </c>
      <c r="F140" s="1" t="s">
        <v>36</v>
      </c>
      <c r="G140" s="1">
        <v>37</v>
      </c>
      <c r="H140" s="17" t="s">
        <v>497</v>
      </c>
      <c r="I140" s="1" t="s">
        <v>68</v>
      </c>
      <c r="J140" s="1"/>
      <c r="K140" s="1">
        <v>59</v>
      </c>
      <c r="L140" s="1">
        <v>175</v>
      </c>
      <c r="M140" s="1">
        <f t="shared" si="6"/>
        <v>1.75</v>
      </c>
      <c r="N140" s="7">
        <f t="shared" si="7"/>
        <v>19.26530612244898</v>
      </c>
      <c r="O140" s="1" t="s">
        <v>39</v>
      </c>
      <c r="P140" s="1">
        <v>36.6</v>
      </c>
      <c r="Q140" s="1" t="s">
        <v>38</v>
      </c>
      <c r="R140" s="1" t="s">
        <v>132</v>
      </c>
      <c r="S140" s="1" t="s">
        <v>41</v>
      </c>
      <c r="T140" s="1"/>
      <c r="U140" s="1" t="s">
        <v>104</v>
      </c>
      <c r="V140" s="1" t="s">
        <v>65</v>
      </c>
      <c r="W140" s="1" t="s">
        <v>38</v>
      </c>
      <c r="X140" s="1" t="s">
        <v>65</v>
      </c>
      <c r="Y140" s="1" t="s">
        <v>38</v>
      </c>
      <c r="Z140" s="1" t="s">
        <v>43</v>
      </c>
      <c r="AA140" s="1" t="s">
        <v>38</v>
      </c>
      <c r="AB140" s="1" t="s">
        <v>51</v>
      </c>
      <c r="AC140" s="1" t="s">
        <v>41</v>
      </c>
      <c r="AD140" s="1"/>
      <c r="AE140" s="1" t="s">
        <v>480</v>
      </c>
      <c r="AF140" s="1" t="s">
        <v>65</v>
      </c>
      <c r="AG140" s="1" t="s">
        <v>41</v>
      </c>
      <c r="AH140" s="1" t="s">
        <v>41</v>
      </c>
      <c r="AI140" s="1" t="s">
        <v>41</v>
      </c>
      <c r="AJ140" s="1" t="s">
        <v>38</v>
      </c>
      <c r="AK140" s="1" t="s">
        <v>41</v>
      </c>
      <c r="AL140" s="1" t="s">
        <v>41</v>
      </c>
      <c r="AM140" s="1" t="s">
        <v>41</v>
      </c>
      <c r="AN140" s="1" t="s">
        <v>41</v>
      </c>
      <c r="AO140" s="1" t="s">
        <v>41</v>
      </c>
      <c r="AP140" s="50" t="s">
        <v>498</v>
      </c>
      <c r="AQ140" s="50" t="s">
        <v>61</v>
      </c>
      <c r="AR140" s="1">
        <v>4</v>
      </c>
      <c r="AS140" s="1"/>
      <c r="AT140" s="1">
        <v>2</v>
      </c>
      <c r="AU140" s="1"/>
      <c r="AV140" s="1" t="s">
        <v>58</v>
      </c>
    </row>
    <row r="141" spans="1:48" ht="15.75" customHeight="1" x14ac:dyDescent="0.3">
      <c r="A141" s="1">
        <v>149</v>
      </c>
      <c r="B141" s="16">
        <v>44875</v>
      </c>
      <c r="C141" s="1" t="s">
        <v>499</v>
      </c>
      <c r="D141" s="1" t="s">
        <v>499</v>
      </c>
      <c r="E141" s="1" t="s">
        <v>500</v>
      </c>
      <c r="F141" s="1" t="s">
        <v>36</v>
      </c>
      <c r="G141" s="1">
        <v>30</v>
      </c>
      <c r="H141" s="17" t="s">
        <v>501</v>
      </c>
      <c r="I141" s="1" t="s">
        <v>69</v>
      </c>
      <c r="J141" s="1"/>
      <c r="K141" s="1" t="s">
        <v>69</v>
      </c>
      <c r="L141" s="1" t="s">
        <v>69</v>
      </c>
      <c r="M141" s="1" t="s">
        <v>69</v>
      </c>
      <c r="N141" s="7" t="e">
        <f t="shared" si="7"/>
        <v>#VALUE!</v>
      </c>
      <c r="O141" s="1" t="s">
        <v>39</v>
      </c>
      <c r="P141" s="1" t="s">
        <v>69</v>
      </c>
      <c r="Q141" s="1" t="s">
        <v>38</v>
      </c>
      <c r="R141" s="1" t="s">
        <v>50</v>
      </c>
      <c r="S141" s="1" t="s">
        <v>38</v>
      </c>
      <c r="T141" s="1" t="s">
        <v>65</v>
      </c>
      <c r="U141" s="1" t="s">
        <v>38</v>
      </c>
      <c r="V141" s="1" t="s">
        <v>65</v>
      </c>
      <c r="W141" s="1" t="s">
        <v>38</v>
      </c>
      <c r="X141" s="1" t="s">
        <v>65</v>
      </c>
      <c r="Y141" s="1" t="s">
        <v>38</v>
      </c>
      <c r="Z141" s="1" t="s">
        <v>65</v>
      </c>
      <c r="AA141" s="1" t="s">
        <v>38</v>
      </c>
      <c r="AB141" s="1" t="s">
        <v>65</v>
      </c>
      <c r="AC141" s="1" t="s">
        <v>41</v>
      </c>
      <c r="AD141" s="1"/>
      <c r="AE141" s="1" t="s">
        <v>41</v>
      </c>
      <c r="AF141" s="1"/>
      <c r="AG141" s="1" t="s">
        <v>41</v>
      </c>
      <c r="AH141" s="1" t="s">
        <v>41</v>
      </c>
      <c r="AI141" s="1" t="s">
        <v>41</v>
      </c>
      <c r="AJ141" s="1" t="s">
        <v>41</v>
      </c>
      <c r="AK141" s="1" t="s">
        <v>38</v>
      </c>
      <c r="AL141" s="1" t="s">
        <v>41</v>
      </c>
      <c r="AM141" s="1" t="s">
        <v>41</v>
      </c>
      <c r="AN141" s="1" t="s">
        <v>41</v>
      </c>
      <c r="AO141" s="1" t="s">
        <v>41</v>
      </c>
      <c r="AP141" s="50" t="s">
        <v>118</v>
      </c>
      <c r="AQ141" s="50" t="s">
        <v>45</v>
      </c>
      <c r="AR141" s="1">
        <v>1</v>
      </c>
      <c r="AS141" s="1"/>
      <c r="AT141" s="1">
        <v>1</v>
      </c>
      <c r="AU141" s="1"/>
      <c r="AV141" s="1" t="s">
        <v>58</v>
      </c>
    </row>
    <row r="142" spans="1:48" ht="15.75" customHeight="1" x14ac:dyDescent="0.3">
      <c r="A142" s="1">
        <v>150</v>
      </c>
      <c r="B142" s="16">
        <v>44873</v>
      </c>
      <c r="C142" s="1" t="s">
        <v>502</v>
      </c>
      <c r="D142" s="1" t="s">
        <v>502</v>
      </c>
      <c r="E142" s="1" t="s">
        <v>503</v>
      </c>
      <c r="F142" s="1" t="s">
        <v>36</v>
      </c>
      <c r="G142" s="1">
        <v>52</v>
      </c>
      <c r="H142" s="17" t="s">
        <v>504</v>
      </c>
      <c r="I142" s="1" t="s">
        <v>68</v>
      </c>
      <c r="J142" s="1"/>
      <c r="K142" s="1">
        <v>44</v>
      </c>
      <c r="L142" s="1">
        <v>163</v>
      </c>
      <c r="M142" s="1">
        <f t="shared" si="6"/>
        <v>1.63</v>
      </c>
      <c r="N142" s="7">
        <f t="shared" si="7"/>
        <v>16.560653393052053</v>
      </c>
      <c r="O142" s="1" t="s">
        <v>39</v>
      </c>
      <c r="P142" s="1">
        <v>36.700000000000003</v>
      </c>
      <c r="Q142" s="1" t="s">
        <v>38</v>
      </c>
      <c r="R142" s="1" t="s">
        <v>132</v>
      </c>
      <c r="S142" s="1" t="s">
        <v>38</v>
      </c>
      <c r="T142" s="1" t="s">
        <v>51</v>
      </c>
      <c r="U142" s="1" t="s">
        <v>41</v>
      </c>
      <c r="V142" s="1"/>
      <c r="W142" s="1" t="s">
        <v>104</v>
      </c>
      <c r="X142" s="1" t="s">
        <v>51</v>
      </c>
      <c r="Y142" s="1" t="s">
        <v>38</v>
      </c>
      <c r="Z142" s="1" t="s">
        <v>51</v>
      </c>
      <c r="AA142" s="1" t="s">
        <v>38</v>
      </c>
      <c r="AB142" s="1" t="s">
        <v>43</v>
      </c>
      <c r="AC142" s="1" t="s">
        <v>41</v>
      </c>
      <c r="AD142" s="1"/>
      <c r="AE142" s="1" t="s">
        <v>41</v>
      </c>
      <c r="AF142" s="1"/>
      <c r="AG142" s="1" t="s">
        <v>41</v>
      </c>
      <c r="AH142" s="1" t="s">
        <v>41</v>
      </c>
      <c r="AI142" s="1" t="s">
        <v>41</v>
      </c>
      <c r="AJ142" s="1" t="s">
        <v>38</v>
      </c>
      <c r="AK142" s="1" t="s">
        <v>38</v>
      </c>
      <c r="AL142" s="1" t="s">
        <v>41</v>
      </c>
      <c r="AM142" s="1" t="s">
        <v>41</v>
      </c>
      <c r="AN142" s="1" t="s">
        <v>41</v>
      </c>
      <c r="AO142" s="1" t="s">
        <v>41</v>
      </c>
      <c r="AP142" s="50" t="s">
        <v>79</v>
      </c>
      <c r="AQ142" s="50" t="s">
        <v>72</v>
      </c>
      <c r="AR142" s="1">
        <v>8</v>
      </c>
      <c r="AS142" s="1"/>
      <c r="AT142" s="1">
        <v>8</v>
      </c>
      <c r="AU142" s="1"/>
      <c r="AV142" s="1" t="s">
        <v>46</v>
      </c>
    </row>
    <row r="143" spans="1:48" ht="15.75" customHeight="1" x14ac:dyDescent="0.3">
      <c r="A143" s="1">
        <v>151</v>
      </c>
      <c r="B143" s="16">
        <v>44875</v>
      </c>
      <c r="C143" s="1" t="s">
        <v>505</v>
      </c>
      <c r="D143" s="1" t="s">
        <v>505</v>
      </c>
      <c r="E143" s="1" t="s">
        <v>506</v>
      </c>
      <c r="F143" s="1" t="s">
        <v>87</v>
      </c>
      <c r="G143" s="1">
        <v>25</v>
      </c>
      <c r="H143" s="17" t="s">
        <v>507</v>
      </c>
      <c r="I143" s="1" t="s">
        <v>68</v>
      </c>
      <c r="J143" s="1"/>
      <c r="K143" s="1">
        <v>57</v>
      </c>
      <c r="L143" s="1">
        <v>168</v>
      </c>
      <c r="M143" s="1">
        <f t="shared" si="6"/>
        <v>1.68</v>
      </c>
      <c r="N143" s="7">
        <f t="shared" si="7"/>
        <v>20.195578231292519</v>
      </c>
      <c r="O143" s="1" t="s">
        <v>39</v>
      </c>
      <c r="P143" s="1">
        <v>36.700000000000003</v>
      </c>
      <c r="Q143" s="1" t="s">
        <v>38</v>
      </c>
      <c r="R143" s="1" t="s">
        <v>43</v>
      </c>
      <c r="S143" s="1" t="s">
        <v>38</v>
      </c>
      <c r="T143" s="1" t="s">
        <v>52</v>
      </c>
      <c r="U143" s="1" t="s">
        <v>38</v>
      </c>
      <c r="V143" s="1" t="s">
        <v>52</v>
      </c>
      <c r="W143" s="1" t="s">
        <v>38</v>
      </c>
      <c r="X143" s="1" t="s">
        <v>52</v>
      </c>
      <c r="Y143" s="1" t="s">
        <v>41</v>
      </c>
      <c r="Z143" s="1"/>
      <c r="AA143" s="1" t="s">
        <v>41</v>
      </c>
      <c r="AB143" s="1"/>
      <c r="AC143" s="1" t="s">
        <v>41</v>
      </c>
      <c r="AD143" s="1"/>
      <c r="AE143" s="1" t="s">
        <v>41</v>
      </c>
      <c r="AF143" s="1"/>
      <c r="AG143" s="1" t="s">
        <v>41</v>
      </c>
      <c r="AH143" s="1" t="s">
        <v>41</v>
      </c>
      <c r="AI143" s="1" t="s">
        <v>41</v>
      </c>
      <c r="AJ143" s="1" t="s">
        <v>41</v>
      </c>
      <c r="AK143" s="1" t="s">
        <v>41</v>
      </c>
      <c r="AL143" s="1" t="s">
        <v>41</v>
      </c>
      <c r="AM143" s="1" t="s">
        <v>41</v>
      </c>
      <c r="AN143" s="1" t="s">
        <v>41</v>
      </c>
      <c r="AO143" s="1"/>
      <c r="AP143" s="50" t="s">
        <v>508</v>
      </c>
      <c r="AQ143" s="50" t="s">
        <v>72</v>
      </c>
      <c r="AR143" s="1">
        <v>7</v>
      </c>
      <c r="AS143" s="1"/>
      <c r="AT143" s="1">
        <v>6</v>
      </c>
      <c r="AU143" s="1"/>
      <c r="AV143" s="1" t="s">
        <v>46</v>
      </c>
    </row>
    <row r="144" spans="1:48" ht="15.75" customHeight="1" x14ac:dyDescent="0.3">
      <c r="A144" s="1">
        <v>152</v>
      </c>
      <c r="B144" s="16">
        <v>44866</v>
      </c>
      <c r="C144" s="1" t="s">
        <v>509</v>
      </c>
      <c r="D144" s="1" t="s">
        <v>509</v>
      </c>
      <c r="E144" s="1" t="s">
        <v>510</v>
      </c>
      <c r="F144" s="1" t="s">
        <v>36</v>
      </c>
      <c r="G144" s="1">
        <v>28</v>
      </c>
      <c r="H144" s="17" t="s">
        <v>511</v>
      </c>
      <c r="I144" s="1" t="s">
        <v>68</v>
      </c>
      <c r="J144" s="1"/>
      <c r="K144" s="1">
        <v>65</v>
      </c>
      <c r="L144" s="1">
        <v>171</v>
      </c>
      <c r="M144" s="1">
        <f t="shared" si="6"/>
        <v>1.71</v>
      </c>
      <c r="N144" s="7">
        <f t="shared" si="7"/>
        <v>22.229061933586404</v>
      </c>
      <c r="O144" s="1" t="s">
        <v>39</v>
      </c>
      <c r="P144" s="1">
        <v>36.700000000000003</v>
      </c>
      <c r="Q144" s="1" t="s">
        <v>38</v>
      </c>
      <c r="R144" s="1" t="s">
        <v>150</v>
      </c>
      <c r="S144" s="1" t="s">
        <v>38</v>
      </c>
      <c r="T144" s="1" t="s">
        <v>157</v>
      </c>
      <c r="U144" s="1" t="s">
        <v>41</v>
      </c>
      <c r="V144" s="1"/>
      <c r="W144" s="1" t="s">
        <v>41</v>
      </c>
      <c r="X144" s="1"/>
      <c r="Y144" s="1" t="s">
        <v>41</v>
      </c>
      <c r="Z144" s="1"/>
      <c r="AA144" s="1" t="s">
        <v>41</v>
      </c>
      <c r="AB144" s="1"/>
      <c r="AC144" s="1" t="s">
        <v>41</v>
      </c>
      <c r="AD144" s="1"/>
      <c r="AE144" s="1" t="s">
        <v>41</v>
      </c>
      <c r="AF144" s="1"/>
      <c r="AG144" s="1" t="s">
        <v>41</v>
      </c>
      <c r="AH144" s="1" t="s">
        <v>41</v>
      </c>
      <c r="AI144" s="1" t="s">
        <v>41</v>
      </c>
      <c r="AJ144" s="1" t="s">
        <v>41</v>
      </c>
      <c r="AK144" s="1" t="s">
        <v>41</v>
      </c>
      <c r="AL144" s="1" t="s">
        <v>41</v>
      </c>
      <c r="AM144" s="1" t="s">
        <v>41</v>
      </c>
      <c r="AN144" s="1" t="s">
        <v>41</v>
      </c>
      <c r="AO144" s="1" t="s">
        <v>41</v>
      </c>
      <c r="AP144" s="50" t="s">
        <v>94</v>
      </c>
      <c r="AQ144" s="50" t="s">
        <v>61</v>
      </c>
      <c r="AR144" s="1">
        <v>1</v>
      </c>
      <c r="AS144" s="1"/>
      <c r="AT144" s="1">
        <v>1</v>
      </c>
      <c r="AU144" s="1"/>
      <c r="AV144" s="1" t="s">
        <v>58</v>
      </c>
    </row>
    <row r="145" spans="1:48" ht="15.75" customHeight="1" x14ac:dyDescent="0.3">
      <c r="A145" s="1">
        <v>153</v>
      </c>
      <c r="B145" s="16">
        <v>44872</v>
      </c>
      <c r="C145" s="1" t="s">
        <v>512</v>
      </c>
      <c r="D145" s="1" t="s">
        <v>512</v>
      </c>
      <c r="E145" s="1" t="s">
        <v>513</v>
      </c>
      <c r="F145" s="1" t="s">
        <v>36</v>
      </c>
      <c r="G145" s="1">
        <v>25</v>
      </c>
      <c r="H145" s="17" t="s">
        <v>514</v>
      </c>
      <c r="I145" s="1" t="s">
        <v>68</v>
      </c>
      <c r="J145" s="1"/>
      <c r="K145" s="1" t="s">
        <v>69</v>
      </c>
      <c r="L145" s="1" t="s">
        <v>69</v>
      </c>
      <c r="M145" s="1" t="s">
        <v>69</v>
      </c>
      <c r="N145" s="7" t="e">
        <f t="shared" si="7"/>
        <v>#VALUE!</v>
      </c>
      <c r="O145" s="1" t="s">
        <v>39</v>
      </c>
      <c r="P145" s="1" t="s">
        <v>69</v>
      </c>
      <c r="Q145" s="1" t="s">
        <v>38</v>
      </c>
      <c r="R145" s="1" t="s">
        <v>43</v>
      </c>
      <c r="S145" s="1" t="s">
        <v>41</v>
      </c>
      <c r="T145" s="1"/>
      <c r="U145" s="1" t="s">
        <v>38</v>
      </c>
      <c r="V145" s="1" t="s">
        <v>43</v>
      </c>
      <c r="W145" s="1" t="s">
        <v>38</v>
      </c>
      <c r="X145" s="1" t="s">
        <v>43</v>
      </c>
      <c r="Y145" s="1" t="s">
        <v>41</v>
      </c>
      <c r="Z145" s="1"/>
      <c r="AA145" s="1" t="s">
        <v>41</v>
      </c>
      <c r="AB145" s="1"/>
      <c r="AC145" s="1" t="s">
        <v>41</v>
      </c>
      <c r="AD145" s="1"/>
      <c r="AE145" s="1" t="s">
        <v>41</v>
      </c>
      <c r="AF145" s="1"/>
      <c r="AG145" s="1" t="s">
        <v>41</v>
      </c>
      <c r="AH145" s="1" t="s">
        <v>41</v>
      </c>
      <c r="AI145" s="1" t="s">
        <v>41</v>
      </c>
      <c r="AJ145" s="1" t="s">
        <v>41</v>
      </c>
      <c r="AK145" s="1" t="s">
        <v>41</v>
      </c>
      <c r="AL145" s="1" t="s">
        <v>41</v>
      </c>
      <c r="AM145" s="1" t="s">
        <v>41</v>
      </c>
      <c r="AN145" s="1" t="s">
        <v>41</v>
      </c>
      <c r="AO145" s="1" t="s">
        <v>41</v>
      </c>
      <c r="AP145" s="50" t="s">
        <v>515</v>
      </c>
      <c r="AQ145" s="50" t="s">
        <v>45</v>
      </c>
      <c r="AR145" s="1">
        <v>2</v>
      </c>
      <c r="AS145" s="1"/>
      <c r="AT145" s="1">
        <v>2</v>
      </c>
      <c r="AU145" s="1"/>
      <c r="AV145" s="1" t="s">
        <v>58</v>
      </c>
    </row>
    <row r="146" spans="1:48" ht="15.75" customHeight="1" x14ac:dyDescent="0.3">
      <c r="A146" s="1">
        <v>154</v>
      </c>
      <c r="B146" s="16">
        <v>44872</v>
      </c>
      <c r="C146" s="1" t="s">
        <v>516</v>
      </c>
      <c r="D146" s="1" t="s">
        <v>516</v>
      </c>
      <c r="E146" s="1" t="s">
        <v>517</v>
      </c>
      <c r="F146" s="1" t="s">
        <v>36</v>
      </c>
      <c r="G146" s="1">
        <v>48</v>
      </c>
      <c r="H146" s="17" t="s">
        <v>518</v>
      </c>
      <c r="I146" s="1" t="s">
        <v>69</v>
      </c>
      <c r="J146" s="1"/>
      <c r="K146" s="1" t="s">
        <v>69</v>
      </c>
      <c r="L146" s="1" t="s">
        <v>69</v>
      </c>
      <c r="M146" s="1" t="s">
        <v>69</v>
      </c>
      <c r="N146" s="7" t="e">
        <f t="shared" si="7"/>
        <v>#VALUE!</v>
      </c>
      <c r="O146" s="1" t="s">
        <v>39</v>
      </c>
      <c r="P146" s="1" t="s">
        <v>69</v>
      </c>
      <c r="Q146" s="1" t="s">
        <v>38</v>
      </c>
      <c r="R146" s="1" t="s">
        <v>132</v>
      </c>
      <c r="S146" s="1" t="s">
        <v>38</v>
      </c>
      <c r="T146" s="1" t="s">
        <v>51</v>
      </c>
      <c r="U146" s="1" t="s">
        <v>38</v>
      </c>
      <c r="V146" s="1" t="s">
        <v>43</v>
      </c>
      <c r="W146" s="1" t="s">
        <v>38</v>
      </c>
      <c r="X146" s="1" t="s">
        <v>52</v>
      </c>
      <c r="Y146" s="1" t="s">
        <v>41</v>
      </c>
      <c r="Z146" s="1"/>
      <c r="AA146" s="1" t="s">
        <v>41</v>
      </c>
      <c r="AB146" s="1"/>
      <c r="AC146" s="1" t="s">
        <v>41</v>
      </c>
      <c r="AD146" s="1"/>
      <c r="AE146" s="1" t="s">
        <v>41</v>
      </c>
      <c r="AF146" s="1"/>
      <c r="AG146" s="1" t="s">
        <v>41</v>
      </c>
      <c r="AH146" s="1" t="s">
        <v>41</v>
      </c>
      <c r="AI146" s="1" t="s">
        <v>41</v>
      </c>
      <c r="AJ146" s="1" t="s">
        <v>38</v>
      </c>
      <c r="AK146" s="1" t="s">
        <v>38</v>
      </c>
      <c r="AL146" s="1" t="s">
        <v>41</v>
      </c>
      <c r="AM146" s="1" t="s">
        <v>41</v>
      </c>
      <c r="AN146" s="1" t="s">
        <v>41</v>
      </c>
      <c r="AO146" s="1" t="s">
        <v>41</v>
      </c>
      <c r="AP146" s="50" t="s">
        <v>79</v>
      </c>
      <c r="AQ146" s="50" t="s">
        <v>172</v>
      </c>
      <c r="AR146" s="1">
        <v>1</v>
      </c>
      <c r="AS146" s="1"/>
      <c r="AT146" s="1">
        <v>1</v>
      </c>
      <c r="AU146" s="1"/>
      <c r="AV146" s="1" t="s">
        <v>58</v>
      </c>
    </row>
    <row r="147" spans="1:48" ht="15.75" customHeight="1" x14ac:dyDescent="0.3">
      <c r="A147" s="1">
        <v>156</v>
      </c>
      <c r="B147" s="16">
        <v>44869</v>
      </c>
      <c r="C147" s="1" t="s">
        <v>519</v>
      </c>
      <c r="D147" s="1" t="s">
        <v>519</v>
      </c>
      <c r="E147" s="1" t="s">
        <v>520</v>
      </c>
      <c r="F147" s="1" t="s">
        <v>36</v>
      </c>
      <c r="G147" s="1">
        <v>40</v>
      </c>
      <c r="H147" s="17" t="s">
        <v>521</v>
      </c>
      <c r="I147" s="1" t="s">
        <v>37</v>
      </c>
      <c r="J147" s="1"/>
      <c r="K147" s="1" t="s">
        <v>69</v>
      </c>
      <c r="L147" s="1" t="s">
        <v>69</v>
      </c>
      <c r="M147" s="1" t="s">
        <v>69</v>
      </c>
      <c r="N147" s="7" t="e">
        <f t="shared" si="7"/>
        <v>#VALUE!</v>
      </c>
      <c r="O147" s="1" t="s">
        <v>39</v>
      </c>
      <c r="P147" s="1" t="s">
        <v>69</v>
      </c>
      <c r="Q147" s="1" t="s">
        <v>38</v>
      </c>
      <c r="R147" s="1" t="s">
        <v>43</v>
      </c>
      <c r="S147" s="1" t="s">
        <v>41</v>
      </c>
      <c r="T147" s="1"/>
      <c r="U147" s="1" t="s">
        <v>38</v>
      </c>
      <c r="V147" s="1" t="s">
        <v>43</v>
      </c>
      <c r="W147" s="1" t="s">
        <v>38</v>
      </c>
      <c r="X147" s="1" t="s">
        <v>43</v>
      </c>
      <c r="Y147" s="1" t="s">
        <v>41</v>
      </c>
      <c r="Z147" s="1"/>
      <c r="AA147" s="1" t="s">
        <v>41</v>
      </c>
      <c r="AB147" s="1"/>
      <c r="AC147" s="1" t="s">
        <v>41</v>
      </c>
      <c r="AD147" s="1"/>
      <c r="AE147" s="1" t="s">
        <v>41</v>
      </c>
      <c r="AF147" s="1"/>
      <c r="AG147" s="1" t="s">
        <v>41</v>
      </c>
      <c r="AH147" s="1" t="s">
        <v>41</v>
      </c>
      <c r="AI147" s="1" t="s">
        <v>41</v>
      </c>
      <c r="AJ147" s="1" t="s">
        <v>38</v>
      </c>
      <c r="AK147" s="1" t="s">
        <v>38</v>
      </c>
      <c r="AL147" s="1" t="s">
        <v>41</v>
      </c>
      <c r="AM147" s="1" t="s">
        <v>41</v>
      </c>
      <c r="AN147" s="1" t="s">
        <v>41</v>
      </c>
      <c r="AO147" s="1" t="s">
        <v>41</v>
      </c>
      <c r="AP147" s="50" t="s">
        <v>79</v>
      </c>
      <c r="AQ147" s="50" t="s">
        <v>72</v>
      </c>
      <c r="AR147" s="1">
        <v>1</v>
      </c>
      <c r="AS147" s="1"/>
      <c r="AT147" s="1">
        <v>1</v>
      </c>
      <c r="AU147" s="1"/>
      <c r="AV147" s="1" t="s">
        <v>58</v>
      </c>
    </row>
    <row r="148" spans="1:48" ht="15.75" customHeight="1" x14ac:dyDescent="0.3">
      <c r="A148" s="1">
        <v>157</v>
      </c>
      <c r="B148" s="16">
        <v>44869</v>
      </c>
      <c r="C148" s="1" t="s">
        <v>522</v>
      </c>
      <c r="D148" s="1" t="s">
        <v>522</v>
      </c>
      <c r="E148" s="1" t="s">
        <v>523</v>
      </c>
      <c r="F148" s="1" t="s">
        <v>87</v>
      </c>
      <c r="G148" s="1">
        <v>22</v>
      </c>
      <c r="H148" s="17" t="s">
        <v>135</v>
      </c>
      <c r="I148" s="1" t="s">
        <v>68</v>
      </c>
      <c r="J148" s="1"/>
      <c r="K148" s="1">
        <v>62</v>
      </c>
      <c r="L148" s="1">
        <v>160</v>
      </c>
      <c r="M148" s="1">
        <f t="shared" si="6"/>
        <v>1.6</v>
      </c>
      <c r="N148" s="7">
        <f t="shared" si="7"/>
        <v>24.218749999999996</v>
      </c>
      <c r="O148" s="1" t="s">
        <v>39</v>
      </c>
      <c r="P148" s="1">
        <v>36.700000000000003</v>
      </c>
      <c r="Q148" s="1" t="s">
        <v>38</v>
      </c>
      <c r="R148" s="1" t="s">
        <v>51</v>
      </c>
      <c r="S148" s="1" t="s">
        <v>38</v>
      </c>
      <c r="T148" s="1" t="s">
        <v>51</v>
      </c>
      <c r="U148" s="1" t="s">
        <v>41</v>
      </c>
      <c r="V148" s="1"/>
      <c r="W148" s="1" t="s">
        <v>38</v>
      </c>
      <c r="X148" s="1" t="s">
        <v>51</v>
      </c>
      <c r="Y148" s="1" t="s">
        <v>41</v>
      </c>
      <c r="Z148" s="1"/>
      <c r="AA148" s="1" t="s">
        <v>41</v>
      </c>
      <c r="AB148" s="1"/>
      <c r="AC148" s="1" t="s">
        <v>41</v>
      </c>
      <c r="AD148" s="1"/>
      <c r="AE148" s="1" t="s">
        <v>41</v>
      </c>
      <c r="AF148" s="1"/>
      <c r="AG148" s="1" t="s">
        <v>41</v>
      </c>
      <c r="AH148" s="1" t="s">
        <v>41</v>
      </c>
      <c r="AI148" s="1" t="s">
        <v>41</v>
      </c>
      <c r="AJ148" s="1" t="s">
        <v>41</v>
      </c>
      <c r="AK148" s="1" t="s">
        <v>41</v>
      </c>
      <c r="AL148" s="1" t="s">
        <v>41</v>
      </c>
      <c r="AM148" s="1" t="s">
        <v>41</v>
      </c>
      <c r="AN148" s="1" t="s">
        <v>41</v>
      </c>
      <c r="AO148" s="1" t="s">
        <v>41</v>
      </c>
      <c r="AP148" s="50" t="s">
        <v>118</v>
      </c>
      <c r="AQ148" s="50" t="s">
        <v>45</v>
      </c>
      <c r="AR148" s="1">
        <v>1</v>
      </c>
      <c r="AS148" s="1"/>
      <c r="AT148" s="1">
        <v>1</v>
      </c>
      <c r="AU148" s="1"/>
      <c r="AV148" s="1" t="s">
        <v>58</v>
      </c>
    </row>
    <row r="149" spans="1:48" ht="15.75" customHeight="1" x14ac:dyDescent="0.3">
      <c r="A149" s="1">
        <v>158</v>
      </c>
      <c r="B149" s="16">
        <v>44869</v>
      </c>
      <c r="C149" s="1" t="s">
        <v>524</v>
      </c>
      <c r="D149" s="1" t="s">
        <v>524</v>
      </c>
      <c r="E149" s="1" t="s">
        <v>525</v>
      </c>
      <c r="F149" s="1" t="s">
        <v>36</v>
      </c>
      <c r="G149" s="1">
        <v>28</v>
      </c>
      <c r="H149" s="17" t="s">
        <v>526</v>
      </c>
      <c r="I149" s="1" t="s">
        <v>68</v>
      </c>
      <c r="J149" s="1"/>
      <c r="K149" s="1">
        <v>60</v>
      </c>
      <c r="L149" s="1">
        <v>167</v>
      </c>
      <c r="M149" s="1">
        <f t="shared" si="6"/>
        <v>1.67</v>
      </c>
      <c r="N149" s="7">
        <f t="shared" si="7"/>
        <v>21.513858510523864</v>
      </c>
      <c r="O149" s="1" t="s">
        <v>39</v>
      </c>
      <c r="P149" s="1">
        <v>36.799999999999997</v>
      </c>
      <c r="Q149" s="1" t="s">
        <v>38</v>
      </c>
      <c r="R149" s="1" t="s">
        <v>43</v>
      </c>
      <c r="S149" s="1" t="s">
        <v>41</v>
      </c>
      <c r="T149" s="1"/>
      <c r="U149" s="1" t="s">
        <v>41</v>
      </c>
      <c r="V149" s="1"/>
      <c r="W149" s="1" t="s">
        <v>38</v>
      </c>
      <c r="X149" s="1" t="s">
        <v>43</v>
      </c>
      <c r="Y149" s="1" t="s">
        <v>41</v>
      </c>
      <c r="Z149" s="1"/>
      <c r="AA149" s="1" t="s">
        <v>38</v>
      </c>
      <c r="AB149" s="1" t="s">
        <v>51</v>
      </c>
      <c r="AC149" s="1" t="s">
        <v>41</v>
      </c>
      <c r="AD149" s="1"/>
      <c r="AE149" s="1" t="s">
        <v>41</v>
      </c>
      <c r="AF149" s="1"/>
      <c r="AG149" s="1" t="s">
        <v>41</v>
      </c>
      <c r="AH149" s="1" t="s">
        <v>41</v>
      </c>
      <c r="AI149" s="1" t="s">
        <v>41</v>
      </c>
      <c r="AJ149" s="1" t="s">
        <v>38</v>
      </c>
      <c r="AK149" s="1" t="s">
        <v>41</v>
      </c>
      <c r="AL149" s="1" t="s">
        <v>41</v>
      </c>
      <c r="AM149" s="1" t="s">
        <v>41</v>
      </c>
      <c r="AN149" s="1" t="s">
        <v>41</v>
      </c>
      <c r="AO149" s="1" t="s">
        <v>41</v>
      </c>
      <c r="AP149" s="50" t="s">
        <v>79</v>
      </c>
      <c r="AQ149" s="50" t="s">
        <v>45</v>
      </c>
      <c r="AR149" s="1">
        <v>2</v>
      </c>
      <c r="AS149" s="1"/>
      <c r="AT149" s="1">
        <v>2</v>
      </c>
      <c r="AU149" s="1"/>
      <c r="AV149" s="1" t="s">
        <v>58</v>
      </c>
    </row>
    <row r="150" spans="1:48" ht="15.75" customHeight="1" x14ac:dyDescent="0.3">
      <c r="A150" s="1">
        <v>159</v>
      </c>
      <c r="B150" s="16">
        <v>44868</v>
      </c>
      <c r="C150" s="1" t="s">
        <v>527</v>
      </c>
      <c r="D150" s="1" t="s">
        <v>527</v>
      </c>
      <c r="E150" s="1" t="s">
        <v>528</v>
      </c>
      <c r="F150" s="1" t="s">
        <v>87</v>
      </c>
      <c r="G150" s="1">
        <v>24</v>
      </c>
      <c r="H150" s="17" t="s">
        <v>529</v>
      </c>
      <c r="I150" s="1" t="s">
        <v>68</v>
      </c>
      <c r="J150" s="1"/>
      <c r="K150" s="1">
        <v>48</v>
      </c>
      <c r="L150" s="1">
        <v>143</v>
      </c>
      <c r="M150" s="1">
        <f t="shared" si="6"/>
        <v>1.43</v>
      </c>
      <c r="N150" s="7">
        <f t="shared" si="7"/>
        <v>23.473030466037461</v>
      </c>
      <c r="O150" s="1" t="s">
        <v>39</v>
      </c>
      <c r="P150" s="1">
        <v>37.200000000000003</v>
      </c>
      <c r="Q150" s="1" t="s">
        <v>38</v>
      </c>
      <c r="R150" s="1" t="s">
        <v>43</v>
      </c>
      <c r="S150" s="1" t="s">
        <v>38</v>
      </c>
      <c r="T150" s="1" t="s">
        <v>51</v>
      </c>
      <c r="U150" s="1" t="s">
        <v>41</v>
      </c>
      <c r="V150" s="1"/>
      <c r="W150" s="1" t="s">
        <v>38</v>
      </c>
      <c r="X150" s="1" t="s">
        <v>51</v>
      </c>
      <c r="Y150" s="1" t="s">
        <v>41</v>
      </c>
      <c r="Z150" s="1"/>
      <c r="AA150" s="1" t="s">
        <v>41</v>
      </c>
      <c r="AB150" s="1"/>
      <c r="AC150" s="1" t="s">
        <v>41</v>
      </c>
      <c r="AD150" s="1"/>
      <c r="AE150" s="1" t="s">
        <v>530</v>
      </c>
      <c r="AF150" s="1"/>
      <c r="AG150" s="1" t="s">
        <v>41</v>
      </c>
      <c r="AH150" s="1" t="s">
        <v>38</v>
      </c>
      <c r="AI150" s="1" t="s">
        <v>41</v>
      </c>
      <c r="AJ150" s="1" t="s">
        <v>41</v>
      </c>
      <c r="AK150" s="1" t="s">
        <v>41</v>
      </c>
      <c r="AL150" s="1" t="s">
        <v>41</v>
      </c>
      <c r="AM150" s="1" t="s">
        <v>41</v>
      </c>
      <c r="AN150" s="1" t="s">
        <v>41</v>
      </c>
      <c r="AO150" s="1" t="s">
        <v>41</v>
      </c>
      <c r="AP150" s="50" t="s">
        <v>141</v>
      </c>
      <c r="AQ150" s="50" t="s">
        <v>45</v>
      </c>
      <c r="AR150" s="1">
        <v>1</v>
      </c>
      <c r="AS150" s="1"/>
      <c r="AT150" s="1">
        <v>7</v>
      </c>
      <c r="AU150" s="1"/>
      <c r="AV150" s="1" t="s">
        <v>46</v>
      </c>
    </row>
    <row r="151" spans="1:48" ht="15.75" customHeight="1" x14ac:dyDescent="0.3">
      <c r="A151" s="1">
        <v>160</v>
      </c>
      <c r="B151" s="16">
        <v>44867</v>
      </c>
      <c r="C151" s="1" t="s">
        <v>531</v>
      </c>
      <c r="D151" s="1" t="s">
        <v>531</v>
      </c>
      <c r="E151" s="1" t="s">
        <v>532</v>
      </c>
      <c r="F151" s="1" t="s">
        <v>87</v>
      </c>
      <c r="G151" s="1">
        <v>35</v>
      </c>
      <c r="H151" s="17" t="s">
        <v>533</v>
      </c>
      <c r="I151" s="1" t="s">
        <v>37</v>
      </c>
      <c r="J151" s="1" t="s">
        <v>38</v>
      </c>
      <c r="K151" s="1">
        <v>45</v>
      </c>
      <c r="L151" s="1">
        <v>150.30000000000001</v>
      </c>
      <c r="M151" s="1">
        <f t="shared" si="6"/>
        <v>1.5030000000000001</v>
      </c>
      <c r="N151" s="7">
        <f t="shared" si="7"/>
        <v>19.920239361596167</v>
      </c>
      <c r="O151" s="1" t="s">
        <v>39</v>
      </c>
      <c r="P151" s="1" t="s">
        <v>69</v>
      </c>
      <c r="Q151" s="1" t="s">
        <v>38</v>
      </c>
      <c r="R151" s="1" t="s">
        <v>50</v>
      </c>
      <c r="S151" s="1" t="s">
        <v>38</v>
      </c>
      <c r="T151" s="1" t="s">
        <v>65</v>
      </c>
      <c r="U151" s="1" t="s">
        <v>38</v>
      </c>
      <c r="V151" s="1" t="s">
        <v>50</v>
      </c>
      <c r="W151" s="1" t="s">
        <v>38</v>
      </c>
      <c r="X151" s="1" t="s">
        <v>65</v>
      </c>
      <c r="Y151" s="1" t="s">
        <v>41</v>
      </c>
      <c r="Z151" s="1"/>
      <c r="AA151" s="1" t="s">
        <v>41</v>
      </c>
      <c r="AB151" s="1"/>
      <c r="AC151" s="1" t="s">
        <v>41</v>
      </c>
      <c r="AD151" s="1"/>
      <c r="AE151" s="1" t="s">
        <v>41</v>
      </c>
      <c r="AF151" s="1"/>
      <c r="AG151" s="1" t="s">
        <v>41</v>
      </c>
      <c r="AH151" s="1" t="s">
        <v>41</v>
      </c>
      <c r="AI151" s="1" t="s">
        <v>41</v>
      </c>
      <c r="AJ151" s="1" t="s">
        <v>41</v>
      </c>
      <c r="AK151" s="1" t="s">
        <v>41</v>
      </c>
      <c r="AL151" s="1" t="s">
        <v>41</v>
      </c>
      <c r="AM151" s="1" t="s">
        <v>41</v>
      </c>
      <c r="AN151" s="1" t="s">
        <v>41</v>
      </c>
      <c r="AO151" s="1" t="s">
        <v>41</v>
      </c>
      <c r="AP151" s="50" t="s">
        <v>163</v>
      </c>
      <c r="AQ151" s="50" t="s">
        <v>57</v>
      </c>
      <c r="AR151" s="1">
        <v>1</v>
      </c>
      <c r="AS151" s="1"/>
      <c r="AT151" s="1">
        <v>3</v>
      </c>
      <c r="AU151" s="1"/>
      <c r="AV151" s="1" t="s">
        <v>106</v>
      </c>
    </row>
    <row r="152" spans="1:48" ht="15.75" customHeight="1" x14ac:dyDescent="0.3">
      <c r="A152" s="1">
        <v>161</v>
      </c>
      <c r="B152" s="16">
        <v>44867</v>
      </c>
      <c r="C152" s="1" t="s">
        <v>534</v>
      </c>
      <c r="D152" s="1" t="s">
        <v>534</v>
      </c>
      <c r="E152" s="1" t="s">
        <v>535</v>
      </c>
      <c r="F152" s="1"/>
      <c r="G152" s="1">
        <v>24</v>
      </c>
      <c r="H152" s="17" t="s">
        <v>536</v>
      </c>
      <c r="I152" s="1" t="s">
        <v>68</v>
      </c>
      <c r="J152" s="1"/>
      <c r="K152" s="1">
        <v>47</v>
      </c>
      <c r="L152" s="1">
        <v>155.5</v>
      </c>
      <c r="M152" s="1">
        <f t="shared" si="6"/>
        <v>1.5549999999999999</v>
      </c>
      <c r="N152" s="7">
        <f t="shared" si="7"/>
        <v>19.437350730451509</v>
      </c>
      <c r="O152" s="1" t="s">
        <v>39</v>
      </c>
      <c r="P152" s="1" t="s">
        <v>69</v>
      </c>
      <c r="Q152" s="1" t="s">
        <v>38</v>
      </c>
      <c r="R152" s="1" t="s">
        <v>65</v>
      </c>
      <c r="S152" s="1" t="s">
        <v>38</v>
      </c>
      <c r="T152" s="1" t="s">
        <v>65</v>
      </c>
      <c r="U152" s="1" t="s">
        <v>38</v>
      </c>
      <c r="V152" s="1" t="s">
        <v>43</v>
      </c>
      <c r="W152" s="1" t="s">
        <v>38</v>
      </c>
      <c r="X152" s="1" t="s">
        <v>43</v>
      </c>
      <c r="Y152" s="1" t="s">
        <v>41</v>
      </c>
      <c r="Z152" s="1"/>
      <c r="AA152" s="1" t="s">
        <v>38</v>
      </c>
      <c r="AB152" s="1" t="s">
        <v>43</v>
      </c>
      <c r="AC152" s="1" t="s">
        <v>41</v>
      </c>
      <c r="AD152" s="1"/>
      <c r="AE152" s="1" t="s">
        <v>41</v>
      </c>
      <c r="AF152" s="1"/>
      <c r="AG152" s="1" t="s">
        <v>41</v>
      </c>
      <c r="AH152" s="1" t="s">
        <v>41</v>
      </c>
      <c r="AI152" s="1" t="s">
        <v>41</v>
      </c>
      <c r="AJ152" s="1" t="s">
        <v>41</v>
      </c>
      <c r="AK152" s="1" t="s">
        <v>41</v>
      </c>
      <c r="AL152" s="1" t="s">
        <v>41</v>
      </c>
      <c r="AM152" s="1" t="s">
        <v>41</v>
      </c>
      <c r="AN152" s="1" t="s">
        <v>41</v>
      </c>
      <c r="AO152" s="1" t="s">
        <v>41</v>
      </c>
      <c r="AP152" s="50" t="s">
        <v>537</v>
      </c>
      <c r="AQ152" s="50" t="s">
        <v>45</v>
      </c>
      <c r="AR152" s="1">
        <v>4</v>
      </c>
      <c r="AS152" s="1"/>
      <c r="AT152" s="1">
        <v>4</v>
      </c>
      <c r="AU152" s="1"/>
      <c r="AV152" s="1" t="s">
        <v>58</v>
      </c>
    </row>
    <row r="153" spans="1:48" ht="15.75" customHeight="1" x14ac:dyDescent="0.3">
      <c r="A153" s="1">
        <v>162</v>
      </c>
      <c r="B153" s="16">
        <v>44866</v>
      </c>
      <c r="C153" s="1" t="s">
        <v>538</v>
      </c>
      <c r="D153" s="1" t="s">
        <v>538</v>
      </c>
      <c r="E153" s="1" t="s">
        <v>539</v>
      </c>
      <c r="F153" s="1" t="s">
        <v>36</v>
      </c>
      <c r="G153" s="1">
        <v>36</v>
      </c>
      <c r="H153" s="17" t="s">
        <v>540</v>
      </c>
      <c r="I153" s="1" t="s">
        <v>68</v>
      </c>
      <c r="J153" s="1"/>
      <c r="K153" s="1">
        <v>47</v>
      </c>
      <c r="L153" s="1">
        <v>169</v>
      </c>
      <c r="M153" s="1">
        <f t="shared" si="6"/>
        <v>1.69</v>
      </c>
      <c r="N153" s="7">
        <f t="shared" si="7"/>
        <v>16.456006442351459</v>
      </c>
      <c r="O153" s="1" t="s">
        <v>39</v>
      </c>
      <c r="P153" s="1">
        <v>36.700000000000003</v>
      </c>
      <c r="Q153" s="1" t="s">
        <v>38</v>
      </c>
      <c r="R153" s="1" t="s">
        <v>103</v>
      </c>
      <c r="S153" s="1" t="s">
        <v>38</v>
      </c>
      <c r="T153" s="1" t="s">
        <v>103</v>
      </c>
      <c r="U153" s="1" t="s">
        <v>38</v>
      </c>
      <c r="V153" s="1" t="s">
        <v>541</v>
      </c>
      <c r="W153" s="1" t="s">
        <v>41</v>
      </c>
      <c r="X153" s="1"/>
      <c r="Y153" s="1" t="s">
        <v>41</v>
      </c>
      <c r="Z153" s="1"/>
      <c r="AA153" s="1" t="s">
        <v>41</v>
      </c>
      <c r="AB153" s="1"/>
      <c r="AC153" s="1" t="s">
        <v>41</v>
      </c>
      <c r="AD153" s="1"/>
      <c r="AE153" s="1" t="s">
        <v>41</v>
      </c>
      <c r="AF153" s="1"/>
      <c r="AG153" s="1" t="s">
        <v>41</v>
      </c>
      <c r="AH153" s="1" t="s">
        <v>41</v>
      </c>
      <c r="AI153" s="1" t="s">
        <v>41</v>
      </c>
      <c r="AJ153" s="1" t="s">
        <v>38</v>
      </c>
      <c r="AK153" s="1" t="s">
        <v>38</v>
      </c>
      <c r="AL153" s="1" t="s">
        <v>41</v>
      </c>
      <c r="AM153" s="1" t="s">
        <v>41</v>
      </c>
      <c r="AN153" s="1" t="s">
        <v>41</v>
      </c>
      <c r="AO153" s="1" t="s">
        <v>41</v>
      </c>
      <c r="AP153" s="50" t="s">
        <v>71</v>
      </c>
      <c r="AQ153" s="50" t="s">
        <v>172</v>
      </c>
      <c r="AR153" s="1">
        <v>4</v>
      </c>
      <c r="AS153" s="1"/>
      <c r="AT153" s="1">
        <v>1</v>
      </c>
      <c r="AU153" s="1"/>
      <c r="AV153" s="1" t="s">
        <v>58</v>
      </c>
    </row>
    <row r="154" spans="1:48" ht="15.75" customHeight="1" x14ac:dyDescent="0.3">
      <c r="A154" s="1">
        <v>163</v>
      </c>
      <c r="B154" s="16">
        <v>44861</v>
      </c>
      <c r="C154" s="1" t="s">
        <v>542</v>
      </c>
      <c r="D154" s="1" t="s">
        <v>542</v>
      </c>
      <c r="E154" s="1" t="s">
        <v>493</v>
      </c>
      <c r="F154" s="1" t="s">
        <v>36</v>
      </c>
      <c r="G154" s="1">
        <v>32</v>
      </c>
      <c r="H154" s="17" t="s">
        <v>543</v>
      </c>
      <c r="I154" s="1" t="s">
        <v>69</v>
      </c>
      <c r="J154" s="1"/>
      <c r="K154" s="1">
        <v>56</v>
      </c>
      <c r="L154" s="1">
        <v>135</v>
      </c>
      <c r="M154" s="1">
        <f t="shared" si="6"/>
        <v>1.35</v>
      </c>
      <c r="N154" s="7">
        <f t="shared" si="7"/>
        <v>30.72702331961591</v>
      </c>
      <c r="O154" s="1" t="s">
        <v>39</v>
      </c>
      <c r="P154" s="1">
        <v>37.299999999999997</v>
      </c>
      <c r="Q154" s="1" t="s">
        <v>38</v>
      </c>
      <c r="R154" s="1" t="s">
        <v>65</v>
      </c>
      <c r="S154" s="1" t="s">
        <v>38</v>
      </c>
      <c r="T154" s="1" t="s">
        <v>43</v>
      </c>
      <c r="U154" s="1" t="s">
        <v>38</v>
      </c>
      <c r="V154" s="1" t="s">
        <v>65</v>
      </c>
      <c r="W154" s="1" t="s">
        <v>38</v>
      </c>
      <c r="X154" s="1" t="s">
        <v>43</v>
      </c>
      <c r="Y154" s="1" t="s">
        <v>41</v>
      </c>
      <c r="Z154" s="1"/>
      <c r="AA154" s="1" t="s">
        <v>38</v>
      </c>
      <c r="AB154" s="1" t="s">
        <v>43</v>
      </c>
      <c r="AC154" s="1" t="s">
        <v>41</v>
      </c>
      <c r="AD154" s="1"/>
      <c r="AE154" s="1" t="s">
        <v>544</v>
      </c>
      <c r="AF154" s="1"/>
      <c r="AG154" s="1" t="s">
        <v>38</v>
      </c>
      <c r="AH154" s="1" t="s">
        <v>41</v>
      </c>
      <c r="AI154" s="1" t="s">
        <v>41</v>
      </c>
      <c r="AJ154" s="1" t="s">
        <v>41</v>
      </c>
      <c r="AK154" s="1" t="s">
        <v>38</v>
      </c>
      <c r="AL154" s="1" t="s">
        <v>41</v>
      </c>
      <c r="AM154" s="1" t="s">
        <v>41</v>
      </c>
      <c r="AN154" s="1" t="s">
        <v>41</v>
      </c>
      <c r="AO154" s="1" t="s">
        <v>41</v>
      </c>
      <c r="AP154" s="50" t="s">
        <v>118</v>
      </c>
      <c r="AQ154" s="50" t="s">
        <v>45</v>
      </c>
      <c r="AR154" s="1">
        <v>2</v>
      </c>
      <c r="AS154" s="1"/>
      <c r="AT154" s="1">
        <v>2</v>
      </c>
      <c r="AU154" s="1"/>
      <c r="AV154" s="1" t="s">
        <v>58</v>
      </c>
    </row>
    <row r="155" spans="1:48" ht="15.75" customHeight="1" x14ac:dyDescent="0.3">
      <c r="A155" s="1">
        <v>164</v>
      </c>
      <c r="B155" s="16">
        <v>44860</v>
      </c>
      <c r="C155" s="1" t="s">
        <v>545</v>
      </c>
      <c r="D155" s="1" t="s">
        <v>545</v>
      </c>
      <c r="E155" s="1" t="s">
        <v>487</v>
      </c>
      <c r="F155" s="1" t="s">
        <v>36</v>
      </c>
      <c r="G155" s="1">
        <v>48</v>
      </c>
      <c r="H155" s="17" t="s">
        <v>546</v>
      </c>
      <c r="I155" s="1" t="s">
        <v>68</v>
      </c>
      <c r="J155" s="1"/>
      <c r="K155" s="1">
        <v>52</v>
      </c>
      <c r="L155" s="1">
        <v>172</v>
      </c>
      <c r="M155" s="1">
        <f t="shared" si="6"/>
        <v>1.72</v>
      </c>
      <c r="N155" s="7">
        <f t="shared" si="7"/>
        <v>17.577068685776098</v>
      </c>
      <c r="O155" s="1" t="s">
        <v>39</v>
      </c>
      <c r="P155" s="1">
        <v>36.700000000000003</v>
      </c>
      <c r="Q155" s="1" t="s">
        <v>38</v>
      </c>
      <c r="R155" s="1" t="s">
        <v>65</v>
      </c>
      <c r="S155" s="1" t="s">
        <v>38</v>
      </c>
      <c r="T155" s="1" t="s">
        <v>65</v>
      </c>
      <c r="U155" s="1" t="s">
        <v>38</v>
      </c>
      <c r="V155" s="1" t="s">
        <v>65</v>
      </c>
      <c r="W155" s="1" t="s">
        <v>38</v>
      </c>
      <c r="X155" s="1" t="s">
        <v>65</v>
      </c>
      <c r="Y155" s="1" t="s">
        <v>41</v>
      </c>
      <c r="Z155" s="1"/>
      <c r="AA155" s="1" t="s">
        <v>38</v>
      </c>
      <c r="AB155" s="1" t="s">
        <v>43</v>
      </c>
      <c r="AC155" s="1" t="s">
        <v>38</v>
      </c>
      <c r="AD155" s="1" t="s">
        <v>51</v>
      </c>
      <c r="AE155" s="1" t="s">
        <v>41</v>
      </c>
      <c r="AF155" s="1"/>
      <c r="AG155" s="1" t="s">
        <v>41</v>
      </c>
      <c r="AH155" s="1" t="s">
        <v>38</v>
      </c>
      <c r="AI155" s="1" t="s">
        <v>41</v>
      </c>
      <c r="AJ155" s="1" t="s">
        <v>38</v>
      </c>
      <c r="AK155" s="1" t="s">
        <v>41</v>
      </c>
      <c r="AL155" s="1" t="s">
        <v>41</v>
      </c>
      <c r="AM155" s="1" t="s">
        <v>41</v>
      </c>
      <c r="AN155" s="1" t="s">
        <v>41</v>
      </c>
      <c r="AO155" s="1" t="s">
        <v>41</v>
      </c>
      <c r="AP155" s="50" t="s">
        <v>547</v>
      </c>
      <c r="AQ155" s="50" t="s">
        <v>72</v>
      </c>
      <c r="AR155" s="1">
        <v>4</v>
      </c>
      <c r="AS155" s="1"/>
      <c r="AT155" s="1">
        <v>1</v>
      </c>
      <c r="AU155" s="1"/>
      <c r="AV155" s="1" t="s">
        <v>58</v>
      </c>
    </row>
    <row r="156" spans="1:48" ht="15.75" customHeight="1" x14ac:dyDescent="0.3">
      <c r="A156" s="1">
        <v>165</v>
      </c>
      <c r="B156" s="16">
        <v>44855</v>
      </c>
      <c r="C156" s="1" t="s">
        <v>548</v>
      </c>
      <c r="D156" s="1" t="s">
        <v>548</v>
      </c>
      <c r="E156" s="1" t="s">
        <v>399</v>
      </c>
      <c r="F156" s="1" t="s">
        <v>36</v>
      </c>
      <c r="G156" s="1">
        <v>38</v>
      </c>
      <c r="H156" s="17" t="s">
        <v>549</v>
      </c>
      <c r="I156" s="1" t="s">
        <v>69</v>
      </c>
      <c r="J156" s="1"/>
      <c r="K156" s="1">
        <v>57</v>
      </c>
      <c r="L156" s="1">
        <v>166</v>
      </c>
      <c r="M156" s="1">
        <f t="shared" si="6"/>
        <v>1.66</v>
      </c>
      <c r="N156" s="7">
        <f t="shared" si="7"/>
        <v>20.685150239512268</v>
      </c>
      <c r="O156" s="1" t="s">
        <v>39</v>
      </c>
      <c r="P156" s="1">
        <v>37.200000000000003</v>
      </c>
      <c r="Q156" s="1" t="s">
        <v>38</v>
      </c>
      <c r="R156" s="1" t="s">
        <v>132</v>
      </c>
      <c r="S156" s="1" t="s">
        <v>38</v>
      </c>
      <c r="T156" s="1" t="s">
        <v>132</v>
      </c>
      <c r="U156" s="1" t="s">
        <v>38</v>
      </c>
      <c r="V156" s="1" t="s">
        <v>132</v>
      </c>
      <c r="W156" s="1" t="s">
        <v>38</v>
      </c>
      <c r="X156" s="1" t="s">
        <v>50</v>
      </c>
      <c r="Y156" s="1" t="s">
        <v>41</v>
      </c>
      <c r="Z156" s="1"/>
      <c r="AA156" s="1" t="s">
        <v>41</v>
      </c>
      <c r="AB156" s="1"/>
      <c r="AC156" s="1" t="s">
        <v>41</v>
      </c>
      <c r="AD156" s="1"/>
      <c r="AE156" s="1" t="s">
        <v>294</v>
      </c>
      <c r="AF156" s="1"/>
      <c r="AG156" s="1" t="s">
        <v>41</v>
      </c>
      <c r="AH156" s="1" t="s">
        <v>38</v>
      </c>
      <c r="AI156" s="1" t="s">
        <v>41</v>
      </c>
      <c r="AJ156" s="1" t="s">
        <v>38</v>
      </c>
      <c r="AK156" s="1" t="s">
        <v>38</v>
      </c>
      <c r="AL156" s="1" t="s">
        <v>41</v>
      </c>
      <c r="AM156" s="1" t="s">
        <v>41</v>
      </c>
      <c r="AN156" s="1" t="s">
        <v>41</v>
      </c>
      <c r="AO156" s="1" t="s">
        <v>41</v>
      </c>
      <c r="AP156" s="50" t="s">
        <v>118</v>
      </c>
      <c r="AQ156" s="50" t="s">
        <v>99</v>
      </c>
      <c r="AR156" s="1">
        <v>3</v>
      </c>
      <c r="AS156" s="1"/>
      <c r="AT156" s="1">
        <v>1</v>
      </c>
      <c r="AU156" s="1"/>
      <c r="AV156" s="1" t="s">
        <v>46</v>
      </c>
    </row>
    <row r="157" spans="1:48" ht="15.75" customHeight="1" x14ac:dyDescent="0.3">
      <c r="A157" s="1">
        <v>167</v>
      </c>
      <c r="B157" s="16">
        <v>44854</v>
      </c>
      <c r="C157" s="1" t="s">
        <v>550</v>
      </c>
      <c r="D157" s="1" t="s">
        <v>550</v>
      </c>
      <c r="E157" s="1" t="s">
        <v>551</v>
      </c>
      <c r="F157" s="1" t="s">
        <v>36</v>
      </c>
      <c r="G157" s="1">
        <v>38</v>
      </c>
      <c r="H157" s="17" t="s">
        <v>552</v>
      </c>
      <c r="I157" s="1" t="s">
        <v>68</v>
      </c>
      <c r="J157" s="1"/>
      <c r="K157" s="1">
        <v>52</v>
      </c>
      <c r="L157" s="1">
        <v>185</v>
      </c>
      <c r="M157" s="1">
        <f t="shared" si="6"/>
        <v>1.85</v>
      </c>
      <c r="N157" s="7">
        <f t="shared" si="7"/>
        <v>15.193571950328705</v>
      </c>
      <c r="O157" s="1" t="s">
        <v>39</v>
      </c>
      <c r="P157" s="1">
        <v>37.1</v>
      </c>
      <c r="Q157" s="1" t="s">
        <v>38</v>
      </c>
      <c r="R157" s="1" t="s">
        <v>65</v>
      </c>
      <c r="S157" s="1" t="s">
        <v>38</v>
      </c>
      <c r="T157" s="1" t="s">
        <v>65</v>
      </c>
      <c r="U157" s="1" t="s">
        <v>38</v>
      </c>
      <c r="V157" s="1" t="s">
        <v>65</v>
      </c>
      <c r="W157" s="1" t="s">
        <v>38</v>
      </c>
      <c r="X157" s="1" t="s">
        <v>65</v>
      </c>
      <c r="Y157" s="1" t="s">
        <v>38</v>
      </c>
      <c r="Z157" s="1" t="s">
        <v>65</v>
      </c>
      <c r="AA157" s="1" t="s">
        <v>38</v>
      </c>
      <c r="AB157" s="1" t="s">
        <v>65</v>
      </c>
      <c r="AC157" s="1" t="s">
        <v>41</v>
      </c>
      <c r="AD157" s="1"/>
      <c r="AE157" s="1" t="s">
        <v>41</v>
      </c>
      <c r="AF157" s="1"/>
      <c r="AG157" s="1" t="s">
        <v>41</v>
      </c>
      <c r="AH157" s="1" t="s">
        <v>41</v>
      </c>
      <c r="AI157" s="1" t="s">
        <v>41</v>
      </c>
      <c r="AJ157" s="1" t="s">
        <v>38</v>
      </c>
      <c r="AK157" s="1" t="s">
        <v>38</v>
      </c>
      <c r="AL157" s="1" t="s">
        <v>41</v>
      </c>
      <c r="AM157" s="1" t="s">
        <v>41</v>
      </c>
      <c r="AN157" s="1" t="s">
        <v>41</v>
      </c>
      <c r="AO157" s="1" t="s">
        <v>41</v>
      </c>
      <c r="AP157" s="50" t="s">
        <v>118</v>
      </c>
      <c r="AQ157" s="50" t="s">
        <v>72</v>
      </c>
      <c r="AR157" s="1">
        <v>3</v>
      </c>
      <c r="AS157" s="1"/>
      <c r="AT157" s="1">
        <v>1</v>
      </c>
      <c r="AU157" s="1"/>
      <c r="AV157" s="1" t="s">
        <v>58</v>
      </c>
    </row>
    <row r="158" spans="1:48" ht="15.75" customHeight="1" x14ac:dyDescent="0.3">
      <c r="A158" s="1">
        <v>168</v>
      </c>
      <c r="B158" s="16">
        <v>44852</v>
      </c>
      <c r="C158" s="1" t="s">
        <v>553</v>
      </c>
      <c r="D158" s="1" t="s">
        <v>553</v>
      </c>
      <c r="E158" s="1" t="s">
        <v>554</v>
      </c>
      <c r="F158" s="1" t="s">
        <v>36</v>
      </c>
      <c r="G158" s="1">
        <v>20</v>
      </c>
      <c r="H158" s="1"/>
      <c r="I158" s="1" t="s">
        <v>68</v>
      </c>
      <c r="J158" s="1"/>
      <c r="K158" s="1">
        <v>49.5</v>
      </c>
      <c r="L158" s="1">
        <v>166</v>
      </c>
      <c r="M158" s="1">
        <f t="shared" si="6"/>
        <v>1.66</v>
      </c>
      <c r="N158" s="7">
        <f t="shared" si="7"/>
        <v>17.9634199448396</v>
      </c>
      <c r="O158" s="1" t="s">
        <v>39</v>
      </c>
      <c r="P158" s="1">
        <v>36.700000000000003</v>
      </c>
      <c r="Q158" s="1" t="s">
        <v>38</v>
      </c>
      <c r="R158" s="1" t="s">
        <v>43</v>
      </c>
      <c r="S158" s="1" t="s">
        <v>41</v>
      </c>
      <c r="T158" s="1"/>
      <c r="U158" s="1" t="s">
        <v>38</v>
      </c>
      <c r="V158" s="1" t="s">
        <v>43</v>
      </c>
      <c r="W158" s="1" t="s">
        <v>41</v>
      </c>
      <c r="X158" s="1"/>
      <c r="Y158" s="1" t="s">
        <v>41</v>
      </c>
      <c r="Z158" s="1"/>
      <c r="AA158" s="1" t="s">
        <v>38</v>
      </c>
      <c r="AB158" s="1" t="s">
        <v>51</v>
      </c>
      <c r="AC158" s="1" t="s">
        <v>41</v>
      </c>
      <c r="AD158" s="1"/>
      <c r="AE158" s="1" t="s">
        <v>41</v>
      </c>
      <c r="AF158" s="1"/>
      <c r="AG158" s="1" t="s">
        <v>41</v>
      </c>
      <c r="AH158" s="1" t="s">
        <v>41</v>
      </c>
      <c r="AI158" s="1" t="s">
        <v>41</v>
      </c>
      <c r="AJ158" s="1" t="s">
        <v>41</v>
      </c>
      <c r="AK158" s="1" t="s">
        <v>41</v>
      </c>
      <c r="AL158" s="1" t="s">
        <v>41</v>
      </c>
      <c r="AM158" s="1" t="s">
        <v>41</v>
      </c>
      <c r="AN158" s="1" t="s">
        <v>41</v>
      </c>
      <c r="AO158" s="1" t="s">
        <v>41</v>
      </c>
      <c r="AP158" s="50" t="s">
        <v>69</v>
      </c>
      <c r="AQ158" s="50" t="s">
        <v>99</v>
      </c>
      <c r="AR158" s="1">
        <v>1</v>
      </c>
      <c r="AS158" s="1"/>
      <c r="AT158" s="1">
        <v>1</v>
      </c>
      <c r="AU158" s="1"/>
      <c r="AV158" s="1" t="s">
        <v>58</v>
      </c>
    </row>
    <row r="159" spans="1:48" ht="15.75" customHeight="1" x14ac:dyDescent="0.3">
      <c r="A159" s="1">
        <v>169</v>
      </c>
      <c r="B159" s="16">
        <v>44852</v>
      </c>
      <c r="C159" s="1" t="s">
        <v>555</v>
      </c>
      <c r="D159" s="1" t="s">
        <v>555</v>
      </c>
      <c r="E159" s="1" t="s">
        <v>556</v>
      </c>
      <c r="F159" s="1" t="s">
        <v>36</v>
      </c>
      <c r="G159" s="1">
        <v>42</v>
      </c>
      <c r="H159" s="17" t="s">
        <v>557</v>
      </c>
      <c r="I159" s="1" t="s">
        <v>68</v>
      </c>
      <c r="J159" s="1"/>
      <c r="K159" s="1">
        <v>48</v>
      </c>
      <c r="L159" s="1">
        <v>164</v>
      </c>
      <c r="M159" s="1">
        <f t="shared" si="6"/>
        <v>1.64</v>
      </c>
      <c r="N159" s="7">
        <f t="shared" si="7"/>
        <v>17.846519928613922</v>
      </c>
      <c r="O159" s="1" t="s">
        <v>39</v>
      </c>
      <c r="P159" s="1">
        <v>36.700000000000003</v>
      </c>
      <c r="Q159" s="1" t="s">
        <v>38</v>
      </c>
      <c r="R159" s="1" t="s">
        <v>65</v>
      </c>
      <c r="S159" s="1" t="s">
        <v>41</v>
      </c>
      <c r="T159" s="1"/>
      <c r="U159" s="1" t="s">
        <v>38</v>
      </c>
      <c r="V159" s="1" t="s">
        <v>43</v>
      </c>
      <c r="W159" s="1" t="s">
        <v>38</v>
      </c>
      <c r="X159" s="1" t="s">
        <v>65</v>
      </c>
      <c r="Y159" s="1" t="s">
        <v>41</v>
      </c>
      <c r="Z159" s="1"/>
      <c r="AA159" s="1" t="s">
        <v>38</v>
      </c>
      <c r="AB159" s="1" t="s">
        <v>43</v>
      </c>
      <c r="AC159" s="1" t="s">
        <v>41</v>
      </c>
      <c r="AD159" s="1"/>
      <c r="AE159" s="1" t="s">
        <v>41</v>
      </c>
      <c r="AF159" s="1"/>
      <c r="AG159" s="1" t="s">
        <v>38</v>
      </c>
      <c r="AH159" s="1" t="s">
        <v>38</v>
      </c>
      <c r="AI159" s="1" t="s">
        <v>41</v>
      </c>
      <c r="AJ159" s="1" t="s">
        <v>41</v>
      </c>
      <c r="AK159" s="1" t="s">
        <v>41</v>
      </c>
      <c r="AL159" s="1" t="s">
        <v>41</v>
      </c>
      <c r="AM159" s="1" t="s">
        <v>41</v>
      </c>
      <c r="AN159" s="1" t="s">
        <v>41</v>
      </c>
      <c r="AO159" s="1" t="s">
        <v>41</v>
      </c>
      <c r="AP159" s="50" t="s">
        <v>118</v>
      </c>
      <c r="AQ159" s="50" t="s">
        <v>99</v>
      </c>
      <c r="AR159" s="1">
        <v>2</v>
      </c>
      <c r="AS159" s="1"/>
      <c r="AT159" s="1">
        <v>1</v>
      </c>
      <c r="AU159" s="1"/>
      <c r="AV159" s="1" t="s">
        <v>58</v>
      </c>
    </row>
    <row r="160" spans="1:48" ht="15.75" customHeight="1" x14ac:dyDescent="0.3">
      <c r="A160" s="1">
        <v>170</v>
      </c>
      <c r="B160" s="16">
        <v>44852</v>
      </c>
      <c r="C160" s="1" t="s">
        <v>558</v>
      </c>
      <c r="D160" s="1" t="s">
        <v>558</v>
      </c>
      <c r="E160" s="1" t="s">
        <v>528</v>
      </c>
      <c r="F160" s="1" t="s">
        <v>36</v>
      </c>
      <c r="G160" s="1">
        <v>22</v>
      </c>
      <c r="H160" s="17" t="s">
        <v>559</v>
      </c>
      <c r="I160" s="1" t="s">
        <v>68</v>
      </c>
      <c r="J160" s="1"/>
      <c r="K160" s="1">
        <v>49.5</v>
      </c>
      <c r="L160" s="1">
        <v>156</v>
      </c>
      <c r="M160" s="1">
        <f t="shared" si="6"/>
        <v>1.56</v>
      </c>
      <c r="N160" s="7">
        <f t="shared" si="7"/>
        <v>20.340236686390529</v>
      </c>
      <c r="O160" s="1" t="s">
        <v>39</v>
      </c>
      <c r="P160" s="1">
        <v>36.799999999999997</v>
      </c>
      <c r="Q160" s="1" t="s">
        <v>38</v>
      </c>
      <c r="R160" s="1" t="s">
        <v>65</v>
      </c>
      <c r="S160" s="1" t="s">
        <v>38</v>
      </c>
      <c r="T160" s="1" t="s">
        <v>65</v>
      </c>
      <c r="U160" s="1" t="s">
        <v>38</v>
      </c>
      <c r="V160" s="1" t="s">
        <v>43</v>
      </c>
      <c r="W160" s="1" t="s">
        <v>38</v>
      </c>
      <c r="X160" s="1" t="s">
        <v>43</v>
      </c>
      <c r="Y160" s="1" t="s">
        <v>38</v>
      </c>
      <c r="Z160" s="1" t="s">
        <v>65</v>
      </c>
      <c r="AA160" s="1" t="s">
        <v>38</v>
      </c>
      <c r="AB160" s="1" t="s">
        <v>65</v>
      </c>
      <c r="AC160" s="1" t="s">
        <v>41</v>
      </c>
      <c r="AD160" s="1"/>
      <c r="AE160" s="1" t="s">
        <v>371</v>
      </c>
      <c r="AF160" s="1"/>
      <c r="AG160" s="1" t="s">
        <v>38</v>
      </c>
      <c r="AH160" s="1" t="s">
        <v>41</v>
      </c>
      <c r="AI160" s="1" t="s">
        <v>41</v>
      </c>
      <c r="AJ160" s="1" t="s">
        <v>38</v>
      </c>
      <c r="AK160" s="1" t="s">
        <v>41</v>
      </c>
      <c r="AL160" s="1" t="s">
        <v>41</v>
      </c>
      <c r="AM160" s="1" t="s">
        <v>41</v>
      </c>
      <c r="AN160" s="1" t="s">
        <v>41</v>
      </c>
      <c r="AO160" s="1" t="s">
        <v>41</v>
      </c>
      <c r="AP160" s="50" t="s">
        <v>118</v>
      </c>
      <c r="AQ160" s="50" t="s">
        <v>57</v>
      </c>
      <c r="AR160" s="1">
        <v>1</v>
      </c>
      <c r="AS160" s="1"/>
      <c r="AT160" s="1">
        <v>1</v>
      </c>
      <c r="AU160" s="1"/>
      <c r="AV160" s="1" t="s">
        <v>46</v>
      </c>
    </row>
    <row r="161" spans="1:48" ht="15.75" customHeight="1" x14ac:dyDescent="0.3">
      <c r="A161" s="1">
        <v>171</v>
      </c>
      <c r="B161" s="16">
        <v>44852</v>
      </c>
      <c r="C161" s="1" t="s">
        <v>560</v>
      </c>
      <c r="D161" s="1" t="s">
        <v>560</v>
      </c>
      <c r="E161" s="1" t="s">
        <v>493</v>
      </c>
      <c r="F161" s="1" t="s">
        <v>36</v>
      </c>
      <c r="G161" s="1">
        <v>20</v>
      </c>
      <c r="H161" s="17" t="s">
        <v>561</v>
      </c>
      <c r="I161" s="1" t="s">
        <v>68</v>
      </c>
      <c r="J161" s="1"/>
      <c r="K161" s="1">
        <v>51</v>
      </c>
      <c r="L161" s="1">
        <v>153</v>
      </c>
      <c r="M161" s="1">
        <f t="shared" si="6"/>
        <v>1.53</v>
      </c>
      <c r="N161" s="7">
        <f t="shared" si="7"/>
        <v>21.786492374727668</v>
      </c>
      <c r="O161" s="1" t="s">
        <v>39</v>
      </c>
      <c r="P161" s="1">
        <v>36.700000000000003</v>
      </c>
      <c r="Q161" s="1" t="s">
        <v>38</v>
      </c>
      <c r="R161" s="1" t="s">
        <v>132</v>
      </c>
      <c r="S161" s="1" t="s">
        <v>38</v>
      </c>
      <c r="T161" s="1" t="s">
        <v>43</v>
      </c>
      <c r="U161" s="1" t="s">
        <v>38</v>
      </c>
      <c r="V161" s="1" t="s">
        <v>43</v>
      </c>
      <c r="W161" s="1" t="s">
        <v>41</v>
      </c>
      <c r="X161" s="1"/>
      <c r="Y161" s="1" t="s">
        <v>38</v>
      </c>
      <c r="Z161" s="1" t="s">
        <v>51</v>
      </c>
      <c r="AA161" s="1" t="s">
        <v>38</v>
      </c>
      <c r="AB161" s="1" t="s">
        <v>43</v>
      </c>
      <c r="AC161" s="1" t="s">
        <v>41</v>
      </c>
      <c r="AD161" s="1"/>
      <c r="AE161" s="1" t="s">
        <v>41</v>
      </c>
      <c r="AF161" s="1"/>
      <c r="AG161" s="1" t="s">
        <v>38</v>
      </c>
      <c r="AH161" s="1" t="s">
        <v>41</v>
      </c>
      <c r="AI161" s="1" t="s">
        <v>41</v>
      </c>
      <c r="AJ161" s="1" t="s">
        <v>41</v>
      </c>
      <c r="AK161" s="1" t="s">
        <v>41</v>
      </c>
      <c r="AL161" s="1" t="s">
        <v>38</v>
      </c>
      <c r="AM161" s="1" t="s">
        <v>69</v>
      </c>
      <c r="AN161" s="1" t="s">
        <v>69</v>
      </c>
      <c r="AO161" s="1" t="s">
        <v>41</v>
      </c>
      <c r="AP161" s="50" t="s">
        <v>79</v>
      </c>
      <c r="AQ161" s="50" t="s">
        <v>61</v>
      </c>
      <c r="AR161" s="1">
        <v>7</v>
      </c>
      <c r="AS161" s="1"/>
      <c r="AT161" s="1">
        <v>7</v>
      </c>
      <c r="AU161" s="1"/>
      <c r="AV161" s="1" t="s">
        <v>58</v>
      </c>
    </row>
    <row r="162" spans="1:48" ht="15.75" customHeight="1" x14ac:dyDescent="0.3">
      <c r="A162" s="1">
        <v>172</v>
      </c>
      <c r="B162" s="16">
        <v>44851</v>
      </c>
      <c r="C162" s="1" t="s">
        <v>562</v>
      </c>
      <c r="D162" s="1" t="s">
        <v>562</v>
      </c>
      <c r="E162" s="1" t="s">
        <v>500</v>
      </c>
      <c r="F162" s="1" t="s">
        <v>36</v>
      </c>
      <c r="G162" s="1">
        <v>33</v>
      </c>
      <c r="H162" s="17" t="s">
        <v>563</v>
      </c>
      <c r="I162" s="1" t="s">
        <v>68</v>
      </c>
      <c r="J162" s="1"/>
      <c r="K162" s="1">
        <v>56</v>
      </c>
      <c r="L162" s="1">
        <v>170</v>
      </c>
      <c r="M162" s="1">
        <f t="shared" si="6"/>
        <v>1.7</v>
      </c>
      <c r="N162" s="7">
        <f t="shared" si="7"/>
        <v>19.377162629757787</v>
      </c>
      <c r="O162" s="1" t="s">
        <v>39</v>
      </c>
      <c r="P162" s="1">
        <v>36</v>
      </c>
      <c r="Q162" s="1" t="s">
        <v>38</v>
      </c>
      <c r="R162" s="1" t="s">
        <v>65</v>
      </c>
      <c r="S162" s="1" t="s">
        <v>41</v>
      </c>
      <c r="T162" s="1"/>
      <c r="U162" s="1" t="s">
        <v>38</v>
      </c>
      <c r="V162" s="1" t="s">
        <v>51</v>
      </c>
      <c r="W162" s="1" t="s">
        <v>38</v>
      </c>
      <c r="X162" s="1" t="s">
        <v>43</v>
      </c>
      <c r="Y162" s="1" t="s">
        <v>38</v>
      </c>
      <c r="Z162" s="1" t="s">
        <v>43</v>
      </c>
      <c r="AA162" s="1" t="s">
        <v>38</v>
      </c>
      <c r="AB162" s="1" t="s">
        <v>65</v>
      </c>
      <c r="AC162" s="1" t="s">
        <v>41</v>
      </c>
      <c r="AD162" s="1"/>
      <c r="AE162" s="1" t="s">
        <v>564</v>
      </c>
      <c r="AF162" s="1"/>
      <c r="AG162" s="1" t="s">
        <v>41</v>
      </c>
      <c r="AH162" s="1" t="s">
        <v>41</v>
      </c>
      <c r="AI162" s="1" t="s">
        <v>41</v>
      </c>
      <c r="AJ162" s="1" t="s">
        <v>38</v>
      </c>
      <c r="AK162" s="1" t="s">
        <v>38</v>
      </c>
      <c r="AL162" s="1" t="s">
        <v>565</v>
      </c>
      <c r="AM162" s="30">
        <v>44287</v>
      </c>
      <c r="AN162" s="1" t="s">
        <v>38</v>
      </c>
      <c r="AO162" s="1" t="s">
        <v>41</v>
      </c>
      <c r="AP162" s="50" t="s">
        <v>118</v>
      </c>
      <c r="AQ162" s="50" t="s">
        <v>172</v>
      </c>
      <c r="AR162" s="1">
        <v>3</v>
      </c>
      <c r="AS162" s="1"/>
      <c r="AT162" s="1">
        <v>1</v>
      </c>
      <c r="AU162" s="1"/>
      <c r="AV162" s="1" t="s">
        <v>46</v>
      </c>
    </row>
    <row r="163" spans="1:48" ht="15.75" customHeight="1" x14ac:dyDescent="0.3">
      <c r="A163" s="1">
        <v>173</v>
      </c>
      <c r="B163" s="16">
        <v>44851</v>
      </c>
      <c r="C163" s="1" t="s">
        <v>566</v>
      </c>
      <c r="D163" s="1" t="s">
        <v>566</v>
      </c>
      <c r="E163" s="1" t="s">
        <v>567</v>
      </c>
      <c r="F163" s="1" t="s">
        <v>36</v>
      </c>
      <c r="G163" s="1">
        <v>39</v>
      </c>
      <c r="H163" s="17" t="s">
        <v>568</v>
      </c>
      <c r="I163" s="1" t="s">
        <v>68</v>
      </c>
      <c r="J163" s="1"/>
      <c r="K163" s="1">
        <v>43</v>
      </c>
      <c r="L163" s="1">
        <v>159</v>
      </c>
      <c r="M163" s="1">
        <f t="shared" si="6"/>
        <v>1.59</v>
      </c>
      <c r="N163" s="7">
        <f t="shared" si="7"/>
        <v>17.008820853605474</v>
      </c>
      <c r="O163" s="1" t="s">
        <v>39</v>
      </c>
      <c r="P163" s="1">
        <v>36.700000000000003</v>
      </c>
      <c r="Q163" s="1" t="s">
        <v>38</v>
      </c>
      <c r="R163" s="1" t="s">
        <v>43</v>
      </c>
      <c r="S163" s="1" t="s">
        <v>38</v>
      </c>
      <c r="T163" s="1" t="s">
        <v>43</v>
      </c>
      <c r="U163" s="1" t="s">
        <v>38</v>
      </c>
      <c r="V163" s="1" t="s">
        <v>43</v>
      </c>
      <c r="W163" s="1" t="s">
        <v>38</v>
      </c>
      <c r="X163" s="1" t="s">
        <v>43</v>
      </c>
      <c r="Y163" s="1" t="s">
        <v>41</v>
      </c>
      <c r="Z163" s="1"/>
      <c r="AA163" s="1" t="s">
        <v>38</v>
      </c>
      <c r="AB163" s="1" t="s">
        <v>43</v>
      </c>
      <c r="AC163" s="1" t="s">
        <v>38</v>
      </c>
      <c r="AD163" s="1" t="s">
        <v>228</v>
      </c>
      <c r="AE163" s="1" t="s">
        <v>371</v>
      </c>
      <c r="AF163" s="1"/>
      <c r="AG163" s="1" t="s">
        <v>38</v>
      </c>
      <c r="AH163" s="1" t="s">
        <v>41</v>
      </c>
      <c r="AI163" s="1" t="s">
        <v>41</v>
      </c>
      <c r="AJ163" s="1" t="s">
        <v>41</v>
      </c>
      <c r="AK163" s="1" t="s">
        <v>41</v>
      </c>
      <c r="AL163" s="1" t="s">
        <v>41</v>
      </c>
      <c r="AM163" s="1" t="s">
        <v>41</v>
      </c>
      <c r="AN163" s="1" t="s">
        <v>41</v>
      </c>
      <c r="AO163" s="1" t="s">
        <v>41</v>
      </c>
      <c r="AP163" s="50" t="s">
        <v>118</v>
      </c>
      <c r="AQ163" s="50" t="s">
        <v>57</v>
      </c>
      <c r="AR163" s="1">
        <v>1</v>
      </c>
      <c r="AS163" s="1"/>
      <c r="AT163" s="1">
        <v>1</v>
      </c>
      <c r="AU163" s="1"/>
      <c r="AV163" s="1" t="s">
        <v>46</v>
      </c>
    </row>
    <row r="164" spans="1:48" ht="15.75" customHeight="1" x14ac:dyDescent="0.3">
      <c r="A164" s="1">
        <v>174</v>
      </c>
      <c r="B164" s="16">
        <v>44851</v>
      </c>
      <c r="C164" s="1" t="s">
        <v>569</v>
      </c>
      <c r="D164" s="1" t="s">
        <v>569</v>
      </c>
      <c r="E164" s="1" t="s">
        <v>520</v>
      </c>
      <c r="F164" s="1" t="s">
        <v>87</v>
      </c>
      <c r="G164" s="1">
        <v>38</v>
      </c>
      <c r="H164" s="17" t="s">
        <v>570</v>
      </c>
      <c r="I164" s="1" t="s">
        <v>68</v>
      </c>
      <c r="J164" s="1"/>
      <c r="K164" s="1">
        <v>53</v>
      </c>
      <c r="L164" s="1">
        <v>162</v>
      </c>
      <c r="M164" s="1">
        <f t="shared" si="6"/>
        <v>1.62</v>
      </c>
      <c r="N164" s="7">
        <f t="shared" si="7"/>
        <v>20.195092211553114</v>
      </c>
      <c r="O164" s="1" t="s">
        <v>39</v>
      </c>
      <c r="P164" s="1">
        <v>37.200000000000003</v>
      </c>
      <c r="Q164" s="1" t="s">
        <v>38</v>
      </c>
      <c r="R164" s="1" t="s">
        <v>65</v>
      </c>
      <c r="S164" s="1" t="s">
        <v>41</v>
      </c>
      <c r="T164" s="1"/>
      <c r="U164" s="1" t="s">
        <v>38</v>
      </c>
      <c r="V164" s="1" t="s">
        <v>110</v>
      </c>
      <c r="W164" s="1" t="s">
        <v>38</v>
      </c>
      <c r="X164" s="1" t="s">
        <v>110</v>
      </c>
      <c r="Y164" s="1" t="s">
        <v>41</v>
      </c>
      <c r="Z164" s="1"/>
      <c r="AA164" s="1" t="s">
        <v>38</v>
      </c>
      <c r="AB164" s="1" t="s">
        <v>110</v>
      </c>
      <c r="AC164" s="1" t="s">
        <v>41</v>
      </c>
      <c r="AD164" s="1"/>
      <c r="AE164" s="1" t="s">
        <v>41</v>
      </c>
      <c r="AF164" s="1"/>
      <c r="AG164" s="1" t="s">
        <v>41</v>
      </c>
      <c r="AH164" s="1" t="s">
        <v>41</v>
      </c>
      <c r="AI164" s="1" t="s">
        <v>41</v>
      </c>
      <c r="AJ164" s="1" t="s">
        <v>41</v>
      </c>
      <c r="AK164" s="1" t="s">
        <v>41</v>
      </c>
      <c r="AL164" s="1" t="s">
        <v>41</v>
      </c>
      <c r="AM164" s="1" t="s">
        <v>41</v>
      </c>
      <c r="AN164" s="1" t="s">
        <v>41</v>
      </c>
      <c r="AO164" s="1" t="s">
        <v>41</v>
      </c>
      <c r="AP164" s="50" t="s">
        <v>118</v>
      </c>
      <c r="AQ164" s="50" t="s">
        <v>45</v>
      </c>
      <c r="AR164" s="1">
        <v>5</v>
      </c>
      <c r="AS164" s="1"/>
      <c r="AT164" s="1">
        <v>1</v>
      </c>
      <c r="AU164" s="1"/>
      <c r="AV164" s="1" t="s">
        <v>58</v>
      </c>
    </row>
    <row r="165" spans="1:48" ht="15.75" customHeight="1" x14ac:dyDescent="0.3">
      <c r="A165" s="1">
        <v>175</v>
      </c>
      <c r="B165" s="16">
        <v>44568</v>
      </c>
      <c r="C165" s="1" t="s">
        <v>571</v>
      </c>
      <c r="D165" s="1" t="s">
        <v>571</v>
      </c>
      <c r="E165" s="1" t="s">
        <v>572</v>
      </c>
      <c r="F165" s="1" t="s">
        <v>87</v>
      </c>
      <c r="G165" s="1">
        <v>23</v>
      </c>
      <c r="H165" s="17" t="s">
        <v>573</v>
      </c>
      <c r="I165" s="1" t="s">
        <v>68</v>
      </c>
      <c r="J165" s="1"/>
      <c r="K165" s="29" t="s">
        <v>69</v>
      </c>
      <c r="L165" s="29" t="s">
        <v>69</v>
      </c>
      <c r="M165" s="29" t="s">
        <v>69</v>
      </c>
      <c r="N165" s="7" t="e">
        <f t="shared" si="7"/>
        <v>#VALUE!</v>
      </c>
      <c r="O165" s="1" t="s">
        <v>39</v>
      </c>
      <c r="P165" s="1">
        <v>35</v>
      </c>
      <c r="Q165" s="1" t="s">
        <v>38</v>
      </c>
      <c r="R165" s="1" t="s">
        <v>55</v>
      </c>
      <c r="S165" s="1" t="s">
        <v>38</v>
      </c>
      <c r="T165" s="1" t="s">
        <v>65</v>
      </c>
      <c r="U165" s="1" t="s">
        <v>38</v>
      </c>
      <c r="V165" s="1" t="s">
        <v>55</v>
      </c>
      <c r="W165" s="1" t="s">
        <v>38</v>
      </c>
      <c r="X165" s="1" t="s">
        <v>103</v>
      </c>
      <c r="Y165" s="1" t="s">
        <v>38</v>
      </c>
      <c r="Z165" s="1" t="s">
        <v>114</v>
      </c>
      <c r="AA165" s="1" t="s">
        <v>38</v>
      </c>
      <c r="AB165" s="1" t="s">
        <v>51</v>
      </c>
      <c r="AC165" s="1" t="s">
        <v>41</v>
      </c>
      <c r="AD165" s="1"/>
      <c r="AE165" s="1" t="s">
        <v>41</v>
      </c>
      <c r="AF165" s="1"/>
      <c r="AG165" s="1" t="s">
        <v>38</v>
      </c>
      <c r="AH165" s="1" t="s">
        <v>41</v>
      </c>
      <c r="AI165" s="1" t="s">
        <v>41</v>
      </c>
      <c r="AJ165" s="1" t="s">
        <v>41</v>
      </c>
      <c r="AK165" s="1" t="s">
        <v>41</v>
      </c>
      <c r="AL165" s="1" t="s">
        <v>41</v>
      </c>
      <c r="AM165" s="1" t="s">
        <v>41</v>
      </c>
      <c r="AN165" s="1" t="s">
        <v>41</v>
      </c>
      <c r="AO165" s="1" t="s">
        <v>41</v>
      </c>
      <c r="AP165" s="50" t="s">
        <v>174</v>
      </c>
      <c r="AQ165" s="50" t="s">
        <v>72</v>
      </c>
      <c r="AR165" s="1">
        <v>4</v>
      </c>
      <c r="AS165" s="1"/>
      <c r="AT165" s="1">
        <v>2</v>
      </c>
      <c r="AU165" s="1"/>
      <c r="AV165" s="1" t="s">
        <v>58</v>
      </c>
    </row>
    <row r="166" spans="1:48" ht="15.75" customHeight="1" x14ac:dyDescent="0.3">
      <c r="A166" s="1">
        <v>176</v>
      </c>
      <c r="B166" s="16">
        <v>44876</v>
      </c>
      <c r="C166" s="1" t="s">
        <v>574</v>
      </c>
      <c r="D166" s="1" t="s">
        <v>574</v>
      </c>
      <c r="E166" s="1" t="s">
        <v>575</v>
      </c>
      <c r="F166" s="1" t="s">
        <v>36</v>
      </c>
      <c r="G166" s="1">
        <v>18</v>
      </c>
      <c r="H166" s="28" t="s">
        <v>576</v>
      </c>
      <c r="I166" s="29" t="s">
        <v>69</v>
      </c>
      <c r="J166" s="1"/>
      <c r="K166" s="1">
        <v>59</v>
      </c>
      <c r="L166" s="1">
        <v>186</v>
      </c>
      <c r="M166" s="1">
        <f t="shared" si="6"/>
        <v>1.86</v>
      </c>
      <c r="N166" s="7">
        <f t="shared" si="7"/>
        <v>17.053994681466062</v>
      </c>
      <c r="O166" s="1" t="s">
        <v>39</v>
      </c>
      <c r="P166" s="1">
        <v>36</v>
      </c>
      <c r="Q166" s="1" t="s">
        <v>38</v>
      </c>
      <c r="R166" s="1" t="s">
        <v>103</v>
      </c>
      <c r="S166" s="1" t="s">
        <v>38</v>
      </c>
      <c r="T166" s="1" t="s">
        <v>51</v>
      </c>
      <c r="U166" s="1" t="s">
        <v>38</v>
      </c>
      <c r="V166" s="1" t="s">
        <v>336</v>
      </c>
      <c r="W166" s="1" t="s">
        <v>38</v>
      </c>
      <c r="X166" s="1" t="s">
        <v>336</v>
      </c>
      <c r="Y166" s="1" t="s">
        <v>41</v>
      </c>
      <c r="Z166" s="1"/>
      <c r="AA166" s="1" t="s">
        <v>41</v>
      </c>
      <c r="AB166" s="1"/>
      <c r="AC166" s="1" t="s">
        <v>41</v>
      </c>
      <c r="AD166" s="1"/>
      <c r="AE166" s="1" t="s">
        <v>41</v>
      </c>
      <c r="AF166" s="1"/>
      <c r="AG166" s="1" t="s">
        <v>41</v>
      </c>
      <c r="AH166" s="1" t="s">
        <v>41</v>
      </c>
      <c r="AI166" s="1" t="s">
        <v>41</v>
      </c>
      <c r="AJ166" s="1" t="s">
        <v>41</v>
      </c>
      <c r="AK166" s="1" t="s">
        <v>41</v>
      </c>
      <c r="AL166" s="1" t="s">
        <v>41</v>
      </c>
      <c r="AM166" s="1" t="s">
        <v>41</v>
      </c>
      <c r="AN166" s="1" t="s">
        <v>41</v>
      </c>
      <c r="AO166" s="1" t="s">
        <v>41</v>
      </c>
      <c r="AP166" s="50" t="s">
        <v>115</v>
      </c>
      <c r="AQ166" s="50" t="s">
        <v>99</v>
      </c>
      <c r="AR166" s="1">
        <v>3</v>
      </c>
      <c r="AS166" s="1"/>
      <c r="AT166" s="1">
        <v>2</v>
      </c>
      <c r="AU166" s="1"/>
      <c r="AV166" s="1" t="s">
        <v>106</v>
      </c>
    </row>
    <row r="167" spans="1:48" ht="15.75" customHeight="1" x14ac:dyDescent="0.3">
      <c r="A167" s="1">
        <v>177</v>
      </c>
      <c r="B167" s="16">
        <v>44880</v>
      </c>
      <c r="C167" s="1" t="s">
        <v>577</v>
      </c>
      <c r="D167" s="1" t="s">
        <v>577</v>
      </c>
      <c r="E167" s="1" t="s">
        <v>578</v>
      </c>
      <c r="F167" s="1" t="s">
        <v>36</v>
      </c>
      <c r="G167" s="1">
        <v>44</v>
      </c>
      <c r="H167" s="28" t="s">
        <v>579</v>
      </c>
      <c r="I167" s="29" t="s">
        <v>69</v>
      </c>
      <c r="J167" s="1"/>
      <c r="K167" s="1">
        <v>56</v>
      </c>
      <c r="L167" s="1">
        <v>169</v>
      </c>
      <c r="M167" s="1">
        <f t="shared" si="6"/>
        <v>1.69</v>
      </c>
      <c r="N167" s="7">
        <f t="shared" si="7"/>
        <v>19.607156612163443</v>
      </c>
      <c r="O167" s="1" t="s">
        <v>39</v>
      </c>
      <c r="P167" s="1">
        <v>36</v>
      </c>
      <c r="Q167" s="1" t="s">
        <v>38</v>
      </c>
      <c r="R167" s="1" t="s">
        <v>65</v>
      </c>
      <c r="S167" s="1" t="s">
        <v>38</v>
      </c>
      <c r="T167" s="1" t="s">
        <v>43</v>
      </c>
      <c r="U167" s="1" t="s">
        <v>38</v>
      </c>
      <c r="V167" s="1" t="s">
        <v>55</v>
      </c>
      <c r="W167" s="1" t="s">
        <v>38</v>
      </c>
      <c r="X167" s="1" t="s">
        <v>65</v>
      </c>
      <c r="Y167" s="1" t="s">
        <v>41</v>
      </c>
      <c r="Z167" s="1"/>
      <c r="AA167" s="1" t="s">
        <v>38</v>
      </c>
      <c r="AB167" s="1" t="s">
        <v>65</v>
      </c>
      <c r="AC167" s="1" t="s">
        <v>41</v>
      </c>
      <c r="AD167" s="1"/>
      <c r="AE167" s="1" t="s">
        <v>41</v>
      </c>
      <c r="AF167" s="1"/>
      <c r="AG167" s="1" t="s">
        <v>41</v>
      </c>
      <c r="AH167" s="1" t="s">
        <v>41</v>
      </c>
      <c r="AI167" s="1" t="s">
        <v>41</v>
      </c>
      <c r="AJ167" s="1" t="s">
        <v>38</v>
      </c>
      <c r="AK167" s="1" t="s">
        <v>38</v>
      </c>
      <c r="AL167" s="1" t="s">
        <v>41</v>
      </c>
      <c r="AM167" s="1" t="s">
        <v>41</v>
      </c>
      <c r="AN167" s="1" t="s">
        <v>41</v>
      </c>
      <c r="AO167" s="1" t="s">
        <v>41</v>
      </c>
      <c r="AP167" s="50" t="s">
        <v>79</v>
      </c>
      <c r="AQ167" s="50" t="s">
        <v>57</v>
      </c>
      <c r="AR167" s="1">
        <v>3</v>
      </c>
      <c r="AS167" s="1"/>
      <c r="AT167" s="1">
        <v>1</v>
      </c>
      <c r="AU167" s="1"/>
      <c r="AV167" s="1" t="s">
        <v>58</v>
      </c>
    </row>
    <row r="168" spans="1:48" ht="15.75" customHeight="1" x14ac:dyDescent="0.3">
      <c r="A168" s="1">
        <v>178</v>
      </c>
      <c r="B168" s="16">
        <v>44881</v>
      </c>
      <c r="C168" s="1" t="s">
        <v>580</v>
      </c>
      <c r="D168" s="1" t="s">
        <v>580</v>
      </c>
      <c r="E168" s="1" t="s">
        <v>581</v>
      </c>
      <c r="F168" s="1" t="s">
        <v>36</v>
      </c>
      <c r="G168" s="1">
        <v>23</v>
      </c>
      <c r="H168" s="17" t="s">
        <v>582</v>
      </c>
      <c r="I168" s="1" t="s">
        <v>188</v>
      </c>
      <c r="J168" s="1"/>
      <c r="K168" s="1">
        <v>61</v>
      </c>
      <c r="L168" s="1">
        <v>172</v>
      </c>
      <c r="M168" s="1">
        <f t="shared" si="6"/>
        <v>1.72</v>
      </c>
      <c r="N168" s="7">
        <f t="shared" si="7"/>
        <v>20.61925365062196</v>
      </c>
      <c r="O168" s="1" t="s">
        <v>39</v>
      </c>
      <c r="P168" s="1">
        <v>36</v>
      </c>
      <c r="Q168" s="1" t="s">
        <v>38</v>
      </c>
      <c r="R168" s="1" t="s">
        <v>51</v>
      </c>
      <c r="S168" s="1" t="s">
        <v>41</v>
      </c>
      <c r="T168" s="1"/>
      <c r="U168" s="1" t="s">
        <v>38</v>
      </c>
      <c r="V168" s="1" t="s">
        <v>157</v>
      </c>
      <c r="W168" s="1" t="s">
        <v>38</v>
      </c>
      <c r="X168" s="1" t="s">
        <v>43</v>
      </c>
      <c r="Y168" s="1" t="s">
        <v>41</v>
      </c>
      <c r="Z168" s="1"/>
      <c r="AA168" s="1" t="s">
        <v>38</v>
      </c>
      <c r="AB168" s="1" t="s">
        <v>51</v>
      </c>
      <c r="AC168" s="1" t="s">
        <v>41</v>
      </c>
      <c r="AD168" s="1"/>
      <c r="AE168" s="1" t="s">
        <v>41</v>
      </c>
      <c r="AF168" s="1"/>
      <c r="AG168" s="1" t="s">
        <v>41</v>
      </c>
      <c r="AH168" s="1" t="s">
        <v>41</v>
      </c>
      <c r="AI168" s="1" t="s">
        <v>41</v>
      </c>
      <c r="AJ168" s="1" t="s">
        <v>38</v>
      </c>
      <c r="AK168" s="1" t="s">
        <v>41</v>
      </c>
      <c r="AL168" s="1" t="s">
        <v>41</v>
      </c>
      <c r="AM168" s="1" t="s">
        <v>41</v>
      </c>
      <c r="AN168" s="1" t="s">
        <v>41</v>
      </c>
      <c r="AO168" s="1" t="s">
        <v>41</v>
      </c>
      <c r="AP168" s="50" t="s">
        <v>174</v>
      </c>
      <c r="AQ168" s="50" t="s">
        <v>57</v>
      </c>
      <c r="AR168" s="1">
        <v>3</v>
      </c>
      <c r="AS168" s="1"/>
      <c r="AT168" s="1">
        <v>1</v>
      </c>
      <c r="AU168" s="1"/>
      <c r="AV168" s="1" t="s">
        <v>58</v>
      </c>
    </row>
    <row r="169" spans="1:48" ht="15.75" customHeight="1" x14ac:dyDescent="0.3">
      <c r="A169" s="1">
        <v>179</v>
      </c>
      <c r="B169" s="16">
        <v>44860</v>
      </c>
      <c r="C169" s="1" t="s">
        <v>583</v>
      </c>
      <c r="D169" s="1" t="s">
        <v>862</v>
      </c>
      <c r="E169" s="1" t="s">
        <v>584</v>
      </c>
      <c r="F169" s="1" t="s">
        <v>36</v>
      </c>
      <c r="G169" s="1">
        <v>45</v>
      </c>
      <c r="H169" s="17" t="s">
        <v>585</v>
      </c>
      <c r="I169" s="1" t="s">
        <v>188</v>
      </c>
      <c r="J169" s="1"/>
      <c r="K169" s="1">
        <v>38</v>
      </c>
      <c r="L169" s="1">
        <v>177</v>
      </c>
      <c r="M169" s="1">
        <f t="shared" si="6"/>
        <v>1.77</v>
      </c>
      <c r="N169" s="7">
        <f t="shared" si="7"/>
        <v>12.129337035973059</v>
      </c>
      <c r="O169" s="1" t="s">
        <v>39</v>
      </c>
      <c r="P169" s="1">
        <v>37</v>
      </c>
      <c r="Q169" s="1" t="s">
        <v>38</v>
      </c>
      <c r="R169" s="1" t="s">
        <v>51</v>
      </c>
      <c r="S169" s="1" t="s">
        <v>38</v>
      </c>
      <c r="T169" s="1" t="s">
        <v>51</v>
      </c>
      <c r="U169" s="1" t="s">
        <v>38</v>
      </c>
      <c r="V169" s="1" t="s">
        <v>65</v>
      </c>
      <c r="W169" s="1" t="s">
        <v>41</v>
      </c>
      <c r="X169" s="1"/>
      <c r="Y169" s="1" t="s">
        <v>41</v>
      </c>
      <c r="Z169" s="1"/>
      <c r="AA169" s="1" t="s">
        <v>41</v>
      </c>
      <c r="AB169" s="1"/>
      <c r="AC169" s="1" t="s">
        <v>41</v>
      </c>
      <c r="AD169" s="1"/>
      <c r="AE169" s="1" t="s">
        <v>41</v>
      </c>
      <c r="AF169" s="1"/>
      <c r="AG169" s="1" t="s">
        <v>41</v>
      </c>
      <c r="AH169" s="1" t="s">
        <v>41</v>
      </c>
      <c r="AI169" s="1" t="s">
        <v>41</v>
      </c>
      <c r="AJ169" s="1" t="s">
        <v>41</v>
      </c>
      <c r="AK169" s="1" t="s">
        <v>38</v>
      </c>
      <c r="AL169" s="1" t="s">
        <v>41</v>
      </c>
      <c r="AM169" s="1" t="s">
        <v>41</v>
      </c>
      <c r="AN169" s="1" t="s">
        <v>41</v>
      </c>
      <c r="AO169" s="1" t="s">
        <v>41</v>
      </c>
      <c r="AP169" s="50" t="s">
        <v>79</v>
      </c>
      <c r="AQ169" s="50" t="s">
        <v>172</v>
      </c>
      <c r="AR169" s="1">
        <v>1</v>
      </c>
      <c r="AS169" s="1"/>
      <c r="AT169" s="1">
        <v>1</v>
      </c>
      <c r="AU169" s="1"/>
      <c r="AV169" s="1" t="s">
        <v>58</v>
      </c>
    </row>
    <row r="170" spans="1:48" ht="15.75" customHeight="1" x14ac:dyDescent="0.3">
      <c r="A170" s="1">
        <v>180</v>
      </c>
      <c r="B170" s="16">
        <v>44868</v>
      </c>
      <c r="C170" s="1" t="s">
        <v>586</v>
      </c>
      <c r="D170" s="1" t="s">
        <v>586</v>
      </c>
      <c r="E170" s="1" t="s">
        <v>587</v>
      </c>
      <c r="F170" s="1" t="s">
        <v>87</v>
      </c>
      <c r="G170" s="1">
        <v>18</v>
      </c>
      <c r="H170" s="17" t="s">
        <v>588</v>
      </c>
      <c r="I170" s="1" t="s">
        <v>188</v>
      </c>
      <c r="J170" s="1"/>
      <c r="K170" s="1">
        <v>58</v>
      </c>
      <c r="L170" s="1">
        <v>164.7</v>
      </c>
      <c r="M170" s="1">
        <f t="shared" si="6"/>
        <v>1.6469999999999998</v>
      </c>
      <c r="N170" s="7">
        <f t="shared" si="7"/>
        <v>21.381629272777616</v>
      </c>
      <c r="O170" s="1" t="s">
        <v>39</v>
      </c>
      <c r="P170" s="1">
        <v>37</v>
      </c>
      <c r="Q170" s="1" t="s">
        <v>38</v>
      </c>
      <c r="R170" s="1" t="s">
        <v>162</v>
      </c>
      <c r="S170" s="1" t="s">
        <v>41</v>
      </c>
      <c r="T170" s="1"/>
      <c r="U170" s="1" t="s">
        <v>41</v>
      </c>
      <c r="V170" s="1"/>
      <c r="W170" s="1" t="s">
        <v>41</v>
      </c>
      <c r="X170" s="1"/>
      <c r="Y170" s="1" t="s">
        <v>38</v>
      </c>
      <c r="Z170" s="1" t="s">
        <v>55</v>
      </c>
      <c r="AA170" s="1" t="s">
        <v>38</v>
      </c>
      <c r="AB170" s="1" t="s">
        <v>55</v>
      </c>
      <c r="AC170" s="1" t="s">
        <v>41</v>
      </c>
      <c r="AD170" s="1"/>
      <c r="AE170" s="1" t="s">
        <v>41</v>
      </c>
      <c r="AF170" s="1"/>
      <c r="AG170" s="1" t="s">
        <v>38</v>
      </c>
      <c r="AH170" s="1" t="s">
        <v>41</v>
      </c>
      <c r="AI170" s="1" t="s">
        <v>41</v>
      </c>
      <c r="AJ170" s="1" t="s">
        <v>41</v>
      </c>
      <c r="AK170" s="1" t="s">
        <v>41</v>
      </c>
      <c r="AL170" s="1" t="s">
        <v>41</v>
      </c>
      <c r="AM170" s="1" t="s">
        <v>41</v>
      </c>
      <c r="AN170" s="1" t="s">
        <v>41</v>
      </c>
      <c r="AO170" s="1" t="s">
        <v>41</v>
      </c>
      <c r="AP170" s="50" t="s">
        <v>79</v>
      </c>
      <c r="AQ170" s="50" t="s">
        <v>72</v>
      </c>
      <c r="AR170" s="1">
        <v>6</v>
      </c>
      <c r="AS170" s="1"/>
      <c r="AT170" s="1">
        <v>3</v>
      </c>
      <c r="AU170" s="1"/>
      <c r="AV170" s="1" t="s">
        <v>46</v>
      </c>
    </row>
    <row r="171" spans="1:48" ht="15.75" customHeight="1" x14ac:dyDescent="0.3">
      <c r="A171" s="1">
        <v>181</v>
      </c>
      <c r="B171" s="16">
        <v>44936</v>
      </c>
      <c r="C171" s="1" t="s">
        <v>589</v>
      </c>
      <c r="D171" s="1" t="s">
        <v>589</v>
      </c>
      <c r="E171" s="1" t="s">
        <v>590</v>
      </c>
      <c r="F171" s="1" t="s">
        <v>36</v>
      </c>
      <c r="G171" s="1">
        <v>27</v>
      </c>
      <c r="H171" s="17" t="s">
        <v>591</v>
      </c>
      <c r="I171" s="1" t="s">
        <v>68</v>
      </c>
      <c r="J171" s="1"/>
      <c r="K171" s="1">
        <v>57</v>
      </c>
      <c r="L171" s="1">
        <v>175</v>
      </c>
      <c r="M171" s="1">
        <f t="shared" si="6"/>
        <v>1.75</v>
      </c>
      <c r="N171" s="7">
        <f t="shared" si="7"/>
        <v>18.612244897959183</v>
      </c>
      <c r="O171" s="1" t="s">
        <v>39</v>
      </c>
      <c r="P171" s="1">
        <v>37</v>
      </c>
      <c r="Q171" s="1" t="s">
        <v>38</v>
      </c>
      <c r="R171" s="1" t="s">
        <v>50</v>
      </c>
      <c r="S171" s="1" t="s">
        <v>38</v>
      </c>
      <c r="T171" s="1" t="s">
        <v>43</v>
      </c>
      <c r="U171" s="1" t="s">
        <v>38</v>
      </c>
      <c r="V171" s="1" t="s">
        <v>43</v>
      </c>
      <c r="W171" s="1" t="s">
        <v>38</v>
      </c>
      <c r="X171" s="1" t="s">
        <v>52</v>
      </c>
      <c r="Y171" s="1" t="s">
        <v>38</v>
      </c>
      <c r="Z171" s="1" t="s">
        <v>53</v>
      </c>
      <c r="AA171" s="1" t="s">
        <v>38</v>
      </c>
      <c r="AB171" s="1" t="s">
        <v>55</v>
      </c>
      <c r="AC171" s="1" t="s">
        <v>38</v>
      </c>
      <c r="AD171" s="1" t="s">
        <v>51</v>
      </c>
      <c r="AE171" s="1"/>
      <c r="AF171" s="1"/>
      <c r="AG171" s="1" t="s">
        <v>38</v>
      </c>
      <c r="AH171" s="1" t="s">
        <v>41</v>
      </c>
      <c r="AI171" s="1" t="s">
        <v>41</v>
      </c>
      <c r="AJ171" s="1" t="s">
        <v>38</v>
      </c>
      <c r="AK171" s="1" t="s">
        <v>41</v>
      </c>
      <c r="AL171" s="1" t="s">
        <v>41</v>
      </c>
      <c r="AM171" s="1" t="s">
        <v>41</v>
      </c>
      <c r="AN171" s="1" t="s">
        <v>41</v>
      </c>
      <c r="AO171" s="1" t="s">
        <v>41</v>
      </c>
      <c r="AP171" s="50" t="s">
        <v>592</v>
      </c>
      <c r="AQ171" s="50" t="s">
        <v>57</v>
      </c>
      <c r="AR171" s="1">
        <v>10</v>
      </c>
      <c r="AS171" s="1"/>
      <c r="AT171" s="1">
        <v>4</v>
      </c>
      <c r="AU171" s="1"/>
      <c r="AV171" s="1" t="s">
        <v>46</v>
      </c>
    </row>
    <row r="172" spans="1:48" ht="15.75" customHeight="1" x14ac:dyDescent="0.3">
      <c r="A172" s="1">
        <v>182</v>
      </c>
      <c r="B172" s="16">
        <v>44868</v>
      </c>
      <c r="C172" s="1" t="s">
        <v>593</v>
      </c>
      <c r="D172" s="1" t="s">
        <v>593</v>
      </c>
      <c r="E172" s="1" t="s">
        <v>594</v>
      </c>
      <c r="F172" s="1" t="s">
        <v>36</v>
      </c>
      <c r="G172" s="1">
        <v>43</v>
      </c>
      <c r="H172" s="17" t="s">
        <v>595</v>
      </c>
      <c r="I172" s="1" t="s">
        <v>37</v>
      </c>
      <c r="J172" s="1" t="s">
        <v>596</v>
      </c>
      <c r="K172" s="1">
        <v>68</v>
      </c>
      <c r="L172" s="1">
        <v>170</v>
      </c>
      <c r="M172" s="1">
        <f t="shared" si="6"/>
        <v>1.7</v>
      </c>
      <c r="N172" s="7">
        <f t="shared" si="7"/>
        <v>23.529411764705884</v>
      </c>
      <c r="O172" s="1" t="s">
        <v>39</v>
      </c>
      <c r="P172" s="1">
        <v>37</v>
      </c>
      <c r="Q172" s="1" t="s">
        <v>38</v>
      </c>
      <c r="R172" s="1" t="s">
        <v>55</v>
      </c>
      <c r="S172" s="1" t="s">
        <v>41</v>
      </c>
      <c r="T172" s="1"/>
      <c r="U172" s="1" t="s">
        <v>41</v>
      </c>
      <c r="V172" s="1"/>
      <c r="W172" s="1" t="s">
        <v>41</v>
      </c>
      <c r="X172" s="1"/>
      <c r="Y172" s="1" t="s">
        <v>41</v>
      </c>
      <c r="Z172" s="1"/>
      <c r="AA172" s="1" t="s">
        <v>104</v>
      </c>
      <c r="AB172" s="1" t="s">
        <v>43</v>
      </c>
      <c r="AC172" s="1" t="s">
        <v>41</v>
      </c>
      <c r="AD172" s="1"/>
      <c r="AE172" s="1" t="s">
        <v>41</v>
      </c>
      <c r="AF172" s="1"/>
      <c r="AG172" s="1" t="s">
        <v>41</v>
      </c>
      <c r="AH172" s="1" t="s">
        <v>41</v>
      </c>
      <c r="AI172" s="1" t="s">
        <v>41</v>
      </c>
      <c r="AJ172" s="1" t="s">
        <v>41</v>
      </c>
      <c r="AK172" s="1" t="s">
        <v>38</v>
      </c>
      <c r="AL172" s="1" t="s">
        <v>41</v>
      </c>
      <c r="AM172" s="1" t="s">
        <v>41</v>
      </c>
      <c r="AN172" s="1" t="s">
        <v>41</v>
      </c>
      <c r="AO172" s="1" t="s">
        <v>41</v>
      </c>
      <c r="AP172" s="50" t="s">
        <v>94</v>
      </c>
      <c r="AQ172" s="50" t="s">
        <v>72</v>
      </c>
      <c r="AR172" s="1">
        <v>1</v>
      </c>
      <c r="AS172" s="1"/>
      <c r="AT172" s="1">
        <v>1</v>
      </c>
      <c r="AU172" s="1"/>
      <c r="AV172" s="1" t="s">
        <v>58</v>
      </c>
    </row>
    <row r="173" spans="1:48" ht="15.75" customHeight="1" x14ac:dyDescent="0.3">
      <c r="A173" s="1">
        <v>183</v>
      </c>
      <c r="B173" s="16">
        <v>44878</v>
      </c>
      <c r="C173" s="1" t="s">
        <v>597</v>
      </c>
      <c r="D173" s="1" t="s">
        <v>597</v>
      </c>
      <c r="E173" s="1" t="s">
        <v>598</v>
      </c>
      <c r="F173" s="1" t="s">
        <v>36</v>
      </c>
      <c r="G173" s="1">
        <v>40</v>
      </c>
      <c r="H173" s="17" t="s">
        <v>599</v>
      </c>
      <c r="I173" s="1" t="s">
        <v>69</v>
      </c>
      <c r="J173" s="1"/>
      <c r="K173" s="1">
        <v>49</v>
      </c>
      <c r="L173" s="1">
        <v>158</v>
      </c>
      <c r="M173" s="1">
        <f t="shared" si="6"/>
        <v>1.58</v>
      </c>
      <c r="N173" s="7">
        <f t="shared" si="7"/>
        <v>19.62826470116968</v>
      </c>
      <c r="O173" s="1" t="s">
        <v>39</v>
      </c>
      <c r="P173" s="1">
        <v>37</v>
      </c>
      <c r="Q173" s="1" t="s">
        <v>38</v>
      </c>
      <c r="R173" s="1" t="s">
        <v>150</v>
      </c>
      <c r="S173" s="1" t="s">
        <v>38</v>
      </c>
      <c r="T173" s="1" t="s">
        <v>150</v>
      </c>
      <c r="U173" s="1" t="s">
        <v>38</v>
      </c>
      <c r="V173" s="1" t="s">
        <v>64</v>
      </c>
      <c r="W173" s="1" t="s">
        <v>38</v>
      </c>
      <c r="X173" s="1" t="s">
        <v>150</v>
      </c>
      <c r="Y173" s="1" t="s">
        <v>38</v>
      </c>
      <c r="Z173" s="1" t="s">
        <v>65</v>
      </c>
      <c r="AA173" s="1" t="s">
        <v>38</v>
      </c>
      <c r="AB173" s="1" t="s">
        <v>65</v>
      </c>
      <c r="AC173" s="1" t="s">
        <v>41</v>
      </c>
      <c r="AD173" s="1"/>
      <c r="AE173" s="1" t="s">
        <v>41</v>
      </c>
      <c r="AF173" s="1"/>
      <c r="AG173" s="1" t="s">
        <v>38</v>
      </c>
      <c r="AH173" s="1" t="s">
        <v>41</v>
      </c>
      <c r="AI173" s="1" t="s">
        <v>41</v>
      </c>
      <c r="AJ173" s="1" t="s">
        <v>38</v>
      </c>
      <c r="AK173" s="1" t="s">
        <v>41</v>
      </c>
      <c r="AL173" s="1" t="s">
        <v>41</v>
      </c>
      <c r="AM173" s="1" t="s">
        <v>41</v>
      </c>
      <c r="AN173" s="1" t="s">
        <v>41</v>
      </c>
      <c r="AO173" s="1" t="s">
        <v>41</v>
      </c>
      <c r="AP173" s="50" t="s">
        <v>174</v>
      </c>
      <c r="AQ173" s="50" t="s">
        <v>172</v>
      </c>
      <c r="AR173" s="1">
        <v>1</v>
      </c>
      <c r="AS173" s="1"/>
      <c r="AT173" s="1">
        <v>1</v>
      </c>
      <c r="AU173" s="1"/>
      <c r="AV173" s="1" t="s">
        <v>58</v>
      </c>
    </row>
    <row r="174" spans="1:48" ht="15.75" customHeight="1" x14ac:dyDescent="0.3">
      <c r="A174" s="1">
        <v>184</v>
      </c>
      <c r="B174" s="16">
        <v>44860</v>
      </c>
      <c r="C174" s="1" t="s">
        <v>600</v>
      </c>
      <c r="D174" s="1" t="s">
        <v>600</v>
      </c>
      <c r="E174" s="1" t="s">
        <v>601</v>
      </c>
      <c r="F174" s="1" t="s">
        <v>36</v>
      </c>
      <c r="G174" s="1">
        <v>25</v>
      </c>
      <c r="H174" s="17" t="s">
        <v>602</v>
      </c>
      <c r="I174" s="1" t="s">
        <v>188</v>
      </c>
      <c r="J174" s="1"/>
      <c r="K174" s="1">
        <v>54</v>
      </c>
      <c r="L174" s="1">
        <v>131</v>
      </c>
      <c r="M174" s="1">
        <f t="shared" si="6"/>
        <v>1.31</v>
      </c>
      <c r="N174" s="7">
        <f t="shared" si="7"/>
        <v>31.466697744886659</v>
      </c>
      <c r="O174" s="1" t="s">
        <v>39</v>
      </c>
      <c r="P174" s="1">
        <v>35.700000000000003</v>
      </c>
      <c r="Q174" s="1" t="s">
        <v>38</v>
      </c>
      <c r="R174" s="1" t="s">
        <v>132</v>
      </c>
      <c r="S174" s="1" t="s">
        <v>38</v>
      </c>
      <c r="T174" s="1" t="s">
        <v>53</v>
      </c>
      <c r="U174" s="1" t="s">
        <v>41</v>
      </c>
      <c r="V174" s="1"/>
      <c r="W174" s="1" t="s">
        <v>38</v>
      </c>
      <c r="X174" s="1" t="s">
        <v>228</v>
      </c>
      <c r="Y174" s="1" t="s">
        <v>41</v>
      </c>
      <c r="Z174" s="1"/>
      <c r="AA174" s="1" t="s">
        <v>41</v>
      </c>
      <c r="AB174" s="1"/>
      <c r="AC174" s="1" t="s">
        <v>41</v>
      </c>
      <c r="AD174" s="1"/>
      <c r="AE174" s="1" t="s">
        <v>41</v>
      </c>
      <c r="AF174" s="1"/>
      <c r="AG174" s="1" t="s">
        <v>38</v>
      </c>
      <c r="AH174" s="1" t="s">
        <v>41</v>
      </c>
      <c r="AI174" s="1" t="s">
        <v>41</v>
      </c>
      <c r="AJ174" s="1" t="s">
        <v>41</v>
      </c>
      <c r="AK174" s="1" t="s">
        <v>41</v>
      </c>
      <c r="AL174" s="1" t="s">
        <v>41</v>
      </c>
      <c r="AM174" s="1" t="s">
        <v>41</v>
      </c>
      <c r="AN174" s="1" t="s">
        <v>41</v>
      </c>
      <c r="AO174" s="1" t="s">
        <v>41</v>
      </c>
      <c r="AP174" s="50" t="s">
        <v>79</v>
      </c>
      <c r="AQ174" s="50" t="s">
        <v>172</v>
      </c>
      <c r="AR174" s="1">
        <v>2</v>
      </c>
      <c r="AS174" s="1"/>
      <c r="AT174" s="1">
        <v>1</v>
      </c>
      <c r="AU174" s="1"/>
      <c r="AV174" s="1" t="s">
        <v>58</v>
      </c>
    </row>
    <row r="175" spans="1:48" ht="15.75" customHeight="1" x14ac:dyDescent="0.3">
      <c r="A175" s="1">
        <v>185</v>
      </c>
      <c r="B175" s="16">
        <v>44868</v>
      </c>
      <c r="C175" s="1" t="s">
        <v>603</v>
      </c>
      <c r="D175" s="1" t="s">
        <v>603</v>
      </c>
      <c r="E175" s="1" t="s">
        <v>532</v>
      </c>
      <c r="F175" s="1" t="s">
        <v>87</v>
      </c>
      <c r="G175" s="1">
        <v>26</v>
      </c>
      <c r="H175" s="17" t="s">
        <v>604</v>
      </c>
      <c r="I175" s="1" t="s">
        <v>188</v>
      </c>
      <c r="J175" s="1"/>
      <c r="K175" s="1">
        <v>59</v>
      </c>
      <c r="L175" s="1">
        <v>160</v>
      </c>
      <c r="M175" s="1">
        <f t="shared" si="6"/>
        <v>1.6</v>
      </c>
      <c r="N175" s="7">
        <f t="shared" si="7"/>
        <v>23.046874999999996</v>
      </c>
      <c r="O175" s="1" t="s">
        <v>39</v>
      </c>
      <c r="P175" s="1">
        <v>37</v>
      </c>
      <c r="Q175" s="1" t="s">
        <v>38</v>
      </c>
      <c r="R175" s="1" t="s">
        <v>65</v>
      </c>
      <c r="S175" s="1" t="s">
        <v>38</v>
      </c>
      <c r="T175" s="1" t="s">
        <v>43</v>
      </c>
      <c r="U175" s="1" t="s">
        <v>38</v>
      </c>
      <c r="V175" s="1" t="s">
        <v>65</v>
      </c>
      <c r="W175" s="1" t="s">
        <v>38</v>
      </c>
      <c r="X175" s="1" t="s">
        <v>605</v>
      </c>
      <c r="Y175" s="1" t="s">
        <v>38</v>
      </c>
      <c r="Z175" s="1" t="s">
        <v>50</v>
      </c>
      <c r="AA175" s="1" t="s">
        <v>38</v>
      </c>
      <c r="AB175" s="1" t="s">
        <v>43</v>
      </c>
      <c r="AC175" s="1" t="s">
        <v>41</v>
      </c>
      <c r="AD175" s="1"/>
      <c r="AE175" s="1" t="s">
        <v>41</v>
      </c>
      <c r="AF175" s="1"/>
      <c r="AG175" s="1" t="s">
        <v>38</v>
      </c>
      <c r="AH175" s="1" t="s">
        <v>41</v>
      </c>
      <c r="AI175" s="1" t="s">
        <v>41</v>
      </c>
      <c r="AJ175" s="1" t="s">
        <v>38</v>
      </c>
      <c r="AK175" s="1" t="s">
        <v>38</v>
      </c>
      <c r="AL175" s="1" t="s">
        <v>41</v>
      </c>
      <c r="AM175" s="1" t="s">
        <v>41</v>
      </c>
      <c r="AN175" s="1" t="s">
        <v>41</v>
      </c>
      <c r="AO175" s="1" t="s">
        <v>41</v>
      </c>
      <c r="AP175" s="50" t="s">
        <v>141</v>
      </c>
      <c r="AQ175" s="50" t="s">
        <v>172</v>
      </c>
      <c r="AR175" s="1">
        <v>2</v>
      </c>
      <c r="AS175" s="1"/>
      <c r="AT175" s="1">
        <v>1</v>
      </c>
      <c r="AU175" s="1"/>
      <c r="AV175" s="1" t="s">
        <v>58</v>
      </c>
    </row>
    <row r="176" spans="1:48" ht="15.75" customHeight="1" x14ac:dyDescent="0.3">
      <c r="A176" s="1">
        <v>186</v>
      </c>
      <c r="B176" s="16">
        <v>44873</v>
      </c>
      <c r="C176" s="1" t="s">
        <v>606</v>
      </c>
      <c r="D176" s="1" t="s">
        <v>606</v>
      </c>
      <c r="E176" s="1" t="s">
        <v>478</v>
      </c>
      <c r="F176" s="1" t="s">
        <v>87</v>
      </c>
      <c r="G176" s="1">
        <v>29</v>
      </c>
      <c r="H176" s="17" t="s">
        <v>607</v>
      </c>
      <c r="I176" s="1" t="s">
        <v>37</v>
      </c>
      <c r="J176" s="1" t="s">
        <v>596</v>
      </c>
      <c r="K176" s="1">
        <v>58</v>
      </c>
      <c r="L176" s="1">
        <v>168</v>
      </c>
      <c r="M176" s="1">
        <f t="shared" si="6"/>
        <v>1.68</v>
      </c>
      <c r="N176" s="7">
        <f t="shared" si="7"/>
        <v>20.549886621315196</v>
      </c>
      <c r="O176" s="1" t="s">
        <v>39</v>
      </c>
      <c r="P176" s="1">
        <v>37</v>
      </c>
      <c r="Q176" s="1" t="s">
        <v>38</v>
      </c>
      <c r="R176" s="1" t="s">
        <v>157</v>
      </c>
      <c r="S176" s="1" t="s">
        <v>41</v>
      </c>
      <c r="T176" s="1"/>
      <c r="U176" s="1" t="s">
        <v>38</v>
      </c>
      <c r="V176" s="1" t="s">
        <v>157</v>
      </c>
      <c r="W176" s="1" t="s">
        <v>38</v>
      </c>
      <c r="X176" s="1" t="s">
        <v>157</v>
      </c>
      <c r="Y176" s="1" t="s">
        <v>41</v>
      </c>
      <c r="Z176" s="1"/>
      <c r="AA176" s="1" t="s">
        <v>41</v>
      </c>
      <c r="AB176" s="1"/>
      <c r="AC176" s="1" t="s">
        <v>41</v>
      </c>
      <c r="AD176" s="1"/>
      <c r="AE176" s="1" t="s">
        <v>41</v>
      </c>
      <c r="AF176" s="1"/>
      <c r="AG176" s="1" t="s">
        <v>38</v>
      </c>
      <c r="AH176" s="1" t="s">
        <v>41</v>
      </c>
      <c r="AI176" s="1" t="s">
        <v>41</v>
      </c>
      <c r="AJ176" s="1" t="s">
        <v>41</v>
      </c>
      <c r="AK176" s="1" t="s">
        <v>41</v>
      </c>
      <c r="AL176" s="1" t="s">
        <v>41</v>
      </c>
      <c r="AM176" s="1" t="s">
        <v>41</v>
      </c>
      <c r="AN176" s="1" t="s">
        <v>41</v>
      </c>
      <c r="AO176" s="1" t="s">
        <v>41</v>
      </c>
      <c r="AP176" s="50" t="s">
        <v>118</v>
      </c>
      <c r="AQ176" s="50" t="s">
        <v>99</v>
      </c>
      <c r="AR176" s="1">
        <v>3</v>
      </c>
      <c r="AS176" s="1"/>
      <c r="AT176" s="1">
        <v>1</v>
      </c>
      <c r="AU176" s="1"/>
      <c r="AV176" s="1" t="s">
        <v>58</v>
      </c>
    </row>
    <row r="177" spans="1:48" ht="15.75" customHeight="1" x14ac:dyDescent="0.3">
      <c r="A177" s="1">
        <v>206</v>
      </c>
      <c r="B177" s="27">
        <v>44963</v>
      </c>
      <c r="C177" s="1" t="s">
        <v>640</v>
      </c>
      <c r="D177" s="1" t="str">
        <f>MID(C177, 4, LEN(C177)-3) &amp; "-" &amp; LEFT(C177, 3)</f>
        <v>MTI-P-045</v>
      </c>
      <c r="E177" s="1" t="s">
        <v>641</v>
      </c>
      <c r="F177" s="1" t="s">
        <v>36</v>
      </c>
      <c r="G177" s="1">
        <v>36</v>
      </c>
      <c r="H177" s="1"/>
      <c r="I177" s="1" t="s">
        <v>68</v>
      </c>
      <c r="J177" s="1"/>
      <c r="K177" s="1">
        <v>57</v>
      </c>
      <c r="L177" s="1">
        <v>179</v>
      </c>
      <c r="M177" s="1">
        <f t="shared" si="6"/>
        <v>1.79</v>
      </c>
      <c r="N177" s="7">
        <f t="shared" si="7"/>
        <v>17.789706937985706</v>
      </c>
      <c r="O177" s="1" t="s">
        <v>359</v>
      </c>
      <c r="P177" s="1">
        <v>37</v>
      </c>
      <c r="Q177" s="1" t="s">
        <v>38</v>
      </c>
      <c r="R177" s="1" t="s">
        <v>52</v>
      </c>
      <c r="S177" s="1" t="s">
        <v>38</v>
      </c>
      <c r="T177" s="1" t="s">
        <v>52</v>
      </c>
      <c r="U177" s="1" t="s">
        <v>38</v>
      </c>
      <c r="V177" s="1" t="s">
        <v>52</v>
      </c>
      <c r="W177" s="1" t="s">
        <v>38</v>
      </c>
      <c r="X177" s="1" t="s">
        <v>53</v>
      </c>
      <c r="Y177" s="1" t="s">
        <v>41</v>
      </c>
      <c r="Z177" s="1"/>
      <c r="AA177" s="1" t="s">
        <v>38</v>
      </c>
      <c r="AB177" s="1" t="s">
        <v>52</v>
      </c>
      <c r="AC177" s="1" t="s">
        <v>41</v>
      </c>
      <c r="AD177" s="1"/>
      <c r="AE177" s="1" t="s">
        <v>41</v>
      </c>
      <c r="AF177" s="1"/>
      <c r="AG177" s="1" t="s">
        <v>41</v>
      </c>
      <c r="AH177" s="1" t="s">
        <v>41</v>
      </c>
      <c r="AI177" s="1" t="s">
        <v>41</v>
      </c>
      <c r="AJ177" s="1" t="s">
        <v>38</v>
      </c>
      <c r="AK177" s="1" t="s">
        <v>41</v>
      </c>
      <c r="AL177" s="1" t="s">
        <v>41</v>
      </c>
      <c r="AM177" s="1" t="s">
        <v>41</v>
      </c>
      <c r="AN177" s="1" t="s">
        <v>41</v>
      </c>
      <c r="AO177" s="1" t="s">
        <v>41</v>
      </c>
      <c r="AP177" s="50" t="s">
        <v>158</v>
      </c>
      <c r="AQ177" s="50" t="s">
        <v>45</v>
      </c>
      <c r="AR177" s="1">
        <v>4</v>
      </c>
      <c r="AS177" s="1"/>
      <c r="AT177" s="1">
        <v>1</v>
      </c>
      <c r="AU177" s="1"/>
      <c r="AV177" s="1" t="s">
        <v>58</v>
      </c>
    </row>
    <row r="178" spans="1:48" ht="15.75" customHeight="1" x14ac:dyDescent="0.3">
      <c r="A178" s="1">
        <v>190</v>
      </c>
      <c r="B178" s="16">
        <v>44705</v>
      </c>
      <c r="C178" s="1" t="s">
        <v>609</v>
      </c>
      <c r="D178" s="1" t="s">
        <v>609</v>
      </c>
      <c r="E178" s="1" t="s">
        <v>610</v>
      </c>
      <c r="F178" s="1" t="s">
        <v>87</v>
      </c>
      <c r="G178" s="1">
        <v>19</v>
      </c>
      <c r="H178" s="17" t="s">
        <v>611</v>
      </c>
      <c r="I178" s="1" t="s">
        <v>188</v>
      </c>
      <c r="J178" s="1"/>
      <c r="K178" s="1">
        <v>49</v>
      </c>
      <c r="L178" s="1">
        <v>173</v>
      </c>
      <c r="M178" s="1">
        <f t="shared" si="6"/>
        <v>1.73</v>
      </c>
      <c r="N178" s="7">
        <f t="shared" si="7"/>
        <v>16.372080590731397</v>
      </c>
      <c r="O178" s="1" t="s">
        <v>39</v>
      </c>
      <c r="P178" s="1" t="s">
        <v>69</v>
      </c>
      <c r="Q178" s="1" t="s">
        <v>38</v>
      </c>
      <c r="R178" s="1" t="s">
        <v>65</v>
      </c>
      <c r="S178" s="1" t="s">
        <v>38</v>
      </c>
      <c r="T178" s="1" t="s">
        <v>43</v>
      </c>
      <c r="U178" s="1" t="s">
        <v>38</v>
      </c>
      <c r="V178" s="1" t="s">
        <v>43</v>
      </c>
      <c r="W178" s="1" t="s">
        <v>41</v>
      </c>
      <c r="X178" s="1"/>
      <c r="Y178" s="1" t="s">
        <v>41</v>
      </c>
      <c r="Z178" s="1"/>
      <c r="AA178" s="1" t="s">
        <v>38</v>
      </c>
      <c r="AB178" s="1" t="s">
        <v>43</v>
      </c>
      <c r="AC178" s="1" t="s">
        <v>38</v>
      </c>
      <c r="AD178" s="1" t="s">
        <v>43</v>
      </c>
      <c r="AE178" s="1" t="s">
        <v>41</v>
      </c>
      <c r="AF178" s="1"/>
      <c r="AG178" s="1" t="s">
        <v>41</v>
      </c>
      <c r="AH178" s="1" t="s">
        <v>41</v>
      </c>
      <c r="AI178" s="1" t="s">
        <v>41</v>
      </c>
      <c r="AJ178" s="1" t="s">
        <v>41</v>
      </c>
      <c r="AK178" s="1" t="s">
        <v>41</v>
      </c>
      <c r="AL178" s="1" t="s">
        <v>41</v>
      </c>
      <c r="AM178" s="1" t="s">
        <v>41</v>
      </c>
      <c r="AN178" s="1" t="s">
        <v>41</v>
      </c>
      <c r="AO178" s="1" t="s">
        <v>41</v>
      </c>
      <c r="AP178" s="50" t="s">
        <v>115</v>
      </c>
      <c r="AQ178" s="50" t="s">
        <v>72</v>
      </c>
      <c r="AR178" s="1">
        <v>6</v>
      </c>
      <c r="AS178" s="1"/>
      <c r="AT178" s="1">
        <v>1</v>
      </c>
      <c r="AU178" s="1"/>
      <c r="AV178" s="1" t="s">
        <v>58</v>
      </c>
    </row>
    <row r="179" spans="1:48" ht="15.75" customHeight="1" x14ac:dyDescent="0.3">
      <c r="A179" s="1">
        <v>191</v>
      </c>
      <c r="B179" s="16">
        <v>44508</v>
      </c>
      <c r="C179" s="1" t="s">
        <v>612</v>
      </c>
      <c r="D179" s="1" t="s">
        <v>612</v>
      </c>
      <c r="E179" s="1" t="s">
        <v>613</v>
      </c>
      <c r="F179" s="1" t="s">
        <v>36</v>
      </c>
      <c r="G179" s="1">
        <v>23</v>
      </c>
      <c r="H179" s="1"/>
      <c r="I179" s="1" t="s">
        <v>68</v>
      </c>
      <c r="J179" s="1"/>
      <c r="K179" s="1">
        <v>50</v>
      </c>
      <c r="L179" s="1">
        <v>156</v>
      </c>
      <c r="M179" s="1">
        <f t="shared" si="6"/>
        <v>1.56</v>
      </c>
      <c r="N179" s="7">
        <f t="shared" si="7"/>
        <v>20.5456936226167</v>
      </c>
      <c r="O179" s="1" t="s">
        <v>39</v>
      </c>
      <c r="P179" s="1">
        <v>36.4</v>
      </c>
      <c r="Q179" s="1" t="s">
        <v>38</v>
      </c>
      <c r="R179" s="1" t="s">
        <v>51</v>
      </c>
      <c r="S179" s="1" t="s">
        <v>41</v>
      </c>
      <c r="T179" s="1"/>
      <c r="U179" s="1" t="s">
        <v>38</v>
      </c>
      <c r="V179" s="1" t="s">
        <v>51</v>
      </c>
      <c r="W179" s="1" t="s">
        <v>41</v>
      </c>
      <c r="X179" s="1"/>
      <c r="Y179" s="1" t="s">
        <v>38</v>
      </c>
      <c r="Z179" s="1" t="s">
        <v>53</v>
      </c>
      <c r="AA179" s="1"/>
      <c r="AB179" s="1"/>
      <c r="AC179" s="1" t="s">
        <v>41</v>
      </c>
      <c r="AD179" s="1"/>
      <c r="AE179" s="1" t="s">
        <v>41</v>
      </c>
      <c r="AF179" s="1"/>
      <c r="AG179" s="1" t="s">
        <v>38</v>
      </c>
      <c r="AH179" s="1" t="s">
        <v>41</v>
      </c>
      <c r="AI179" s="1" t="s">
        <v>41</v>
      </c>
      <c r="AJ179" s="1" t="s">
        <v>41</v>
      </c>
      <c r="AK179" s="1" t="s">
        <v>41</v>
      </c>
      <c r="AL179" s="1" t="s">
        <v>41</v>
      </c>
      <c r="AM179" s="1" t="s">
        <v>41</v>
      </c>
      <c r="AN179" s="1" t="s">
        <v>41</v>
      </c>
      <c r="AO179" s="1" t="s">
        <v>41</v>
      </c>
      <c r="AP179" s="50" t="s">
        <v>515</v>
      </c>
      <c r="AQ179" s="50" t="s">
        <v>72</v>
      </c>
      <c r="AR179" s="1">
        <v>1</v>
      </c>
      <c r="AS179" s="1"/>
      <c r="AT179" s="1">
        <v>1</v>
      </c>
      <c r="AU179" s="1"/>
      <c r="AV179" s="1" t="s">
        <v>58</v>
      </c>
    </row>
    <row r="180" spans="1:48" ht="15.75" customHeight="1" x14ac:dyDescent="0.3">
      <c r="A180" s="1">
        <v>192</v>
      </c>
      <c r="B180" s="16">
        <v>44509</v>
      </c>
      <c r="C180" s="29" t="s">
        <v>614</v>
      </c>
      <c r="D180" s="29" t="s">
        <v>863</v>
      </c>
      <c r="E180" s="1" t="s">
        <v>478</v>
      </c>
      <c r="F180" s="1" t="s">
        <v>87</v>
      </c>
      <c r="G180" s="1">
        <v>26</v>
      </c>
      <c r="H180" s="17" t="s">
        <v>615</v>
      </c>
      <c r="I180" s="1" t="s">
        <v>68</v>
      </c>
      <c r="J180" s="1" t="s">
        <v>69</v>
      </c>
      <c r="K180" s="1">
        <v>54.9</v>
      </c>
      <c r="L180" s="1">
        <v>166</v>
      </c>
      <c r="M180" s="1">
        <f t="shared" si="6"/>
        <v>1.66</v>
      </c>
      <c r="N180" s="7">
        <f t="shared" si="7"/>
        <v>19.923065757003918</v>
      </c>
      <c r="O180" s="1" t="s">
        <v>39</v>
      </c>
      <c r="P180" s="1">
        <v>36</v>
      </c>
      <c r="Q180" s="1" t="s">
        <v>38</v>
      </c>
      <c r="R180" s="1" t="s">
        <v>77</v>
      </c>
      <c r="S180" s="1" t="s">
        <v>41</v>
      </c>
      <c r="T180" s="1" t="s">
        <v>78</v>
      </c>
      <c r="U180" s="1" t="s">
        <v>38</v>
      </c>
      <c r="V180" s="1" t="s">
        <v>82</v>
      </c>
      <c r="W180" s="1" t="s">
        <v>38</v>
      </c>
      <c r="X180" s="1" t="s">
        <v>82</v>
      </c>
      <c r="Y180" s="1" t="s">
        <v>41</v>
      </c>
      <c r="Z180" s="1"/>
      <c r="AA180" s="1" t="s">
        <v>41</v>
      </c>
      <c r="AB180" s="1" t="s">
        <v>69</v>
      </c>
      <c r="AC180" s="1" t="s">
        <v>41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50"/>
      <c r="AQ180" s="50"/>
      <c r="AR180" s="1"/>
      <c r="AS180" s="1"/>
      <c r="AT180" s="1"/>
      <c r="AU180" s="1"/>
      <c r="AV180" s="1"/>
    </row>
    <row r="181" spans="1:48" ht="15.75" customHeight="1" x14ac:dyDescent="0.3">
      <c r="A181" s="1">
        <v>193</v>
      </c>
      <c r="B181" s="16">
        <v>44512</v>
      </c>
      <c r="C181" s="1" t="s">
        <v>616</v>
      </c>
      <c r="D181" s="1" t="s">
        <v>616</v>
      </c>
      <c r="E181" s="1" t="s">
        <v>617</v>
      </c>
      <c r="F181" s="1" t="s">
        <v>36</v>
      </c>
      <c r="G181" s="1">
        <v>55</v>
      </c>
      <c r="H181" s="1"/>
      <c r="I181" s="1" t="s">
        <v>68</v>
      </c>
      <c r="J181" s="1"/>
      <c r="K181" s="1">
        <v>43</v>
      </c>
      <c r="L181" s="1" t="s">
        <v>69</v>
      </c>
      <c r="M181" s="1" t="e">
        <f t="shared" si="6"/>
        <v>#VALUE!</v>
      </c>
      <c r="N181" s="7" t="e">
        <f t="shared" si="7"/>
        <v>#VALUE!</v>
      </c>
      <c r="O181" s="1" t="s">
        <v>39</v>
      </c>
      <c r="P181" s="1">
        <v>37.200000000000003</v>
      </c>
      <c r="Q181" s="1" t="s">
        <v>38</v>
      </c>
      <c r="R181" s="1" t="s">
        <v>43</v>
      </c>
      <c r="S181" s="1" t="s">
        <v>41</v>
      </c>
      <c r="T181" s="1"/>
      <c r="U181" s="1" t="s">
        <v>38</v>
      </c>
      <c r="V181" s="1" t="s">
        <v>43</v>
      </c>
      <c r="W181" s="1"/>
      <c r="X181" s="1"/>
      <c r="Y181" s="1" t="s">
        <v>41</v>
      </c>
      <c r="Z181" s="1"/>
      <c r="AA181" s="1" t="s">
        <v>41</v>
      </c>
      <c r="AB181" s="1"/>
      <c r="AC181" s="1" t="s">
        <v>41</v>
      </c>
      <c r="AD181" s="1"/>
      <c r="AE181" s="1" t="s">
        <v>41</v>
      </c>
      <c r="AF181" s="1"/>
      <c r="AG181" s="1" t="s">
        <v>41</v>
      </c>
      <c r="AH181" s="1" t="s">
        <v>41</v>
      </c>
      <c r="AI181" s="1" t="s">
        <v>41</v>
      </c>
      <c r="AJ181" s="1" t="s">
        <v>38</v>
      </c>
      <c r="AK181" s="1" t="s">
        <v>41</v>
      </c>
      <c r="AL181" s="1" t="s">
        <v>41</v>
      </c>
      <c r="AM181" s="1" t="s">
        <v>41</v>
      </c>
      <c r="AN181" s="1" t="s">
        <v>41</v>
      </c>
      <c r="AO181" s="1" t="s">
        <v>41</v>
      </c>
      <c r="AP181" s="50" t="s">
        <v>69</v>
      </c>
      <c r="AQ181" s="50" t="s">
        <v>99</v>
      </c>
      <c r="AR181" s="1">
        <v>1</v>
      </c>
      <c r="AS181" s="1"/>
      <c r="AT181" s="1">
        <v>3</v>
      </c>
      <c r="AU181" s="1"/>
      <c r="AV181" s="1" t="s">
        <v>46</v>
      </c>
    </row>
    <row r="182" spans="1:48" ht="15.75" customHeight="1" x14ac:dyDescent="0.3">
      <c r="A182" s="1">
        <v>194</v>
      </c>
      <c r="B182" s="19">
        <v>44650</v>
      </c>
      <c r="C182" s="29" t="s">
        <v>618</v>
      </c>
      <c r="D182" s="29" t="s">
        <v>864</v>
      </c>
      <c r="E182" s="1" t="s">
        <v>619</v>
      </c>
      <c r="F182" s="1" t="s">
        <v>36</v>
      </c>
      <c r="G182" s="1">
        <v>54</v>
      </c>
      <c r="H182" s="1"/>
      <c r="I182" s="1" t="s">
        <v>37</v>
      </c>
      <c r="J182" s="1" t="s">
        <v>38</v>
      </c>
      <c r="K182" s="1">
        <v>51</v>
      </c>
      <c r="L182" s="1">
        <v>169</v>
      </c>
      <c r="M182" s="1">
        <f t="shared" si="6"/>
        <v>1.69</v>
      </c>
      <c r="N182" s="7">
        <f t="shared" si="7"/>
        <v>17.856517628934565</v>
      </c>
      <c r="O182" s="1" t="s">
        <v>39</v>
      </c>
      <c r="P182" s="1">
        <v>36.700000000000003</v>
      </c>
      <c r="Q182" s="1" t="s">
        <v>38</v>
      </c>
      <c r="R182" s="1" t="s">
        <v>70</v>
      </c>
      <c r="S182" s="1" t="s">
        <v>41</v>
      </c>
      <c r="T182" s="1" t="s">
        <v>69</v>
      </c>
      <c r="U182" s="1" t="s">
        <v>38</v>
      </c>
      <c r="V182" s="1" t="s">
        <v>620</v>
      </c>
      <c r="W182" s="1" t="s">
        <v>38</v>
      </c>
      <c r="X182" s="1" t="s">
        <v>82</v>
      </c>
      <c r="Y182" s="1" t="s">
        <v>41</v>
      </c>
      <c r="Z182" s="1"/>
      <c r="AA182" s="1" t="s">
        <v>41</v>
      </c>
      <c r="AB182" s="1"/>
      <c r="AC182" s="1" t="s">
        <v>41</v>
      </c>
      <c r="AD182" s="1"/>
      <c r="AE182" s="1" t="s">
        <v>41</v>
      </c>
      <c r="AF182" s="1"/>
      <c r="AG182" s="1"/>
      <c r="AH182" s="1"/>
      <c r="AI182" s="1"/>
      <c r="AJ182" s="1" t="s">
        <v>38</v>
      </c>
      <c r="AK182" s="1" t="s">
        <v>38</v>
      </c>
      <c r="AL182" s="1"/>
      <c r="AM182" s="1"/>
      <c r="AN182" s="1"/>
      <c r="AO182" s="1"/>
      <c r="AP182" s="50" t="s">
        <v>79</v>
      </c>
      <c r="AQ182" s="50" t="s">
        <v>57</v>
      </c>
      <c r="AR182" s="1">
        <v>4</v>
      </c>
      <c r="AS182" s="1"/>
      <c r="AT182" s="1">
        <v>1</v>
      </c>
      <c r="AU182" s="1"/>
      <c r="AV182" s="1" t="s">
        <v>58</v>
      </c>
    </row>
    <row r="183" spans="1:48" ht="15.75" customHeight="1" x14ac:dyDescent="0.3">
      <c r="A183" s="1">
        <v>195</v>
      </c>
      <c r="B183" s="19">
        <v>44655</v>
      </c>
      <c r="C183" s="1" t="s">
        <v>621</v>
      </c>
      <c r="D183" s="1" t="s">
        <v>621</v>
      </c>
      <c r="E183" s="1" t="s">
        <v>539</v>
      </c>
      <c r="F183" s="1" t="s">
        <v>36</v>
      </c>
      <c r="G183" s="1">
        <v>18</v>
      </c>
      <c r="H183" s="1"/>
      <c r="I183" s="1" t="s">
        <v>68</v>
      </c>
      <c r="J183" s="1"/>
      <c r="K183" s="1">
        <v>49</v>
      </c>
      <c r="L183" s="1">
        <v>167</v>
      </c>
      <c r="M183" s="1">
        <f t="shared" si="6"/>
        <v>1.67</v>
      </c>
      <c r="N183" s="7">
        <f t="shared" si="7"/>
        <v>17.569651116927822</v>
      </c>
      <c r="O183" s="1" t="s">
        <v>39</v>
      </c>
      <c r="P183" s="1">
        <v>37.5</v>
      </c>
      <c r="Q183" s="1" t="s">
        <v>38</v>
      </c>
      <c r="R183" s="1" t="s">
        <v>65</v>
      </c>
      <c r="S183" s="1" t="s">
        <v>38</v>
      </c>
      <c r="T183" s="1" t="s">
        <v>114</v>
      </c>
      <c r="U183" s="1" t="s">
        <v>38</v>
      </c>
      <c r="V183" s="1" t="s">
        <v>110</v>
      </c>
      <c r="W183" s="1" t="s">
        <v>38</v>
      </c>
      <c r="X183" s="1" t="s">
        <v>110</v>
      </c>
      <c r="Y183" s="1" t="s">
        <v>41</v>
      </c>
      <c r="Z183" s="1"/>
      <c r="AA183" s="1" t="s">
        <v>38</v>
      </c>
      <c r="AB183" s="1" t="s">
        <v>228</v>
      </c>
      <c r="AC183" s="1" t="s">
        <v>38</v>
      </c>
      <c r="AD183" s="1" t="s">
        <v>53</v>
      </c>
      <c r="AE183" s="1" t="s">
        <v>41</v>
      </c>
      <c r="AF183" s="1"/>
      <c r="AG183" s="1" t="s">
        <v>41</v>
      </c>
      <c r="AH183" s="1" t="s">
        <v>41</v>
      </c>
      <c r="AI183" s="1" t="s">
        <v>41</v>
      </c>
      <c r="AJ183" s="1" t="s">
        <v>41</v>
      </c>
      <c r="AK183" s="1" t="s">
        <v>41</v>
      </c>
      <c r="AL183" s="1" t="s">
        <v>41</v>
      </c>
      <c r="AM183" s="1" t="s">
        <v>41</v>
      </c>
      <c r="AN183" s="1" t="s">
        <v>41</v>
      </c>
      <c r="AO183" s="1" t="s">
        <v>41</v>
      </c>
      <c r="AP183" s="50" t="s">
        <v>115</v>
      </c>
      <c r="AQ183" s="50" t="s">
        <v>57</v>
      </c>
      <c r="AR183" s="1">
        <v>7</v>
      </c>
      <c r="AS183" s="1"/>
      <c r="AT183" s="1">
        <v>2</v>
      </c>
      <c r="AU183" s="1"/>
      <c r="AV183" s="1" t="s">
        <v>58</v>
      </c>
    </row>
    <row r="184" spans="1:48" ht="15.75" customHeight="1" x14ac:dyDescent="0.3">
      <c r="A184" s="1">
        <v>196</v>
      </c>
      <c r="B184" s="1" t="s">
        <v>69</v>
      </c>
      <c r="C184" s="29" t="s">
        <v>622</v>
      </c>
      <c r="D184" s="29" t="s">
        <v>865</v>
      </c>
      <c r="E184" s="1" t="s">
        <v>520</v>
      </c>
      <c r="F184" s="1" t="s">
        <v>87</v>
      </c>
      <c r="G184" s="1">
        <v>25</v>
      </c>
      <c r="H184" s="1"/>
      <c r="I184" s="1" t="s">
        <v>68</v>
      </c>
      <c r="J184" s="1"/>
      <c r="K184" s="1">
        <v>48</v>
      </c>
      <c r="L184" s="1">
        <v>158</v>
      </c>
      <c r="M184" s="1">
        <f t="shared" si="6"/>
        <v>1.58</v>
      </c>
      <c r="N184" s="7">
        <f t="shared" si="7"/>
        <v>19.227687870533565</v>
      </c>
      <c r="O184" s="1" t="s">
        <v>39</v>
      </c>
      <c r="P184" s="1">
        <v>37</v>
      </c>
      <c r="Q184" s="1" t="s">
        <v>38</v>
      </c>
      <c r="R184" s="1" t="s">
        <v>77</v>
      </c>
      <c r="S184" s="1" t="s">
        <v>38</v>
      </c>
      <c r="T184" s="1" t="s">
        <v>82</v>
      </c>
      <c r="U184" s="1" t="s">
        <v>38</v>
      </c>
      <c r="V184" s="1" t="s">
        <v>82</v>
      </c>
      <c r="W184" s="1" t="s">
        <v>41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50" t="s">
        <v>141</v>
      </c>
      <c r="AQ184" s="50" t="s">
        <v>99</v>
      </c>
      <c r="AR184" s="1">
        <v>4</v>
      </c>
      <c r="AS184" s="1"/>
      <c r="AT184" s="1">
        <v>3</v>
      </c>
      <c r="AU184" s="1"/>
      <c r="AV184" s="1" t="s">
        <v>58</v>
      </c>
    </row>
    <row r="185" spans="1:48" ht="15.75" customHeight="1" x14ac:dyDescent="0.3">
      <c r="A185" s="1">
        <v>197</v>
      </c>
      <c r="B185" s="1"/>
      <c r="C185" s="29" t="s">
        <v>623</v>
      </c>
      <c r="D185" s="29" t="s">
        <v>866</v>
      </c>
      <c r="E185" s="1"/>
      <c r="F185" s="1"/>
      <c r="G185" s="1"/>
      <c r="H185" s="1"/>
      <c r="I185" s="1"/>
      <c r="J185" s="1"/>
      <c r="K185" s="1"/>
      <c r="L185" s="1"/>
      <c r="M185" s="1">
        <f t="shared" si="6"/>
        <v>0</v>
      </c>
      <c r="N185" s="7" t="e">
        <f t="shared" si="7"/>
        <v>#DIV/0!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50"/>
      <c r="AQ185" s="50"/>
      <c r="AR185" s="1"/>
      <c r="AS185" s="1"/>
      <c r="AT185" s="1"/>
      <c r="AU185" s="1"/>
      <c r="AV185" s="1"/>
    </row>
    <row r="186" spans="1:48" ht="15.75" customHeight="1" x14ac:dyDescent="0.3">
      <c r="A186" s="1">
        <v>198</v>
      </c>
      <c r="B186" s="1"/>
      <c r="C186" s="29" t="s">
        <v>624</v>
      </c>
      <c r="D186" s="29" t="s">
        <v>867</v>
      </c>
      <c r="E186" s="1"/>
      <c r="F186" s="1"/>
      <c r="G186" s="1"/>
      <c r="H186" s="1"/>
      <c r="I186" s="1"/>
      <c r="J186" s="1"/>
      <c r="K186" s="1"/>
      <c r="L186" s="1"/>
      <c r="M186" s="1">
        <f t="shared" si="6"/>
        <v>0</v>
      </c>
      <c r="N186" s="7" t="e">
        <f t="shared" si="7"/>
        <v>#DIV/0!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50"/>
      <c r="AQ186" s="50"/>
      <c r="AR186" s="1"/>
      <c r="AS186" s="1"/>
      <c r="AT186" s="1"/>
      <c r="AU186" s="1"/>
      <c r="AV186" s="1"/>
    </row>
    <row r="187" spans="1:48" ht="15.75" customHeight="1" x14ac:dyDescent="0.3">
      <c r="A187" s="1">
        <v>199</v>
      </c>
      <c r="B187" s="16">
        <v>44880</v>
      </c>
      <c r="C187" s="1" t="s">
        <v>625</v>
      </c>
      <c r="D187" s="1" t="s">
        <v>625</v>
      </c>
      <c r="E187" s="1" t="s">
        <v>626</v>
      </c>
      <c r="F187" s="1" t="s">
        <v>87</v>
      </c>
      <c r="G187" s="1">
        <v>38</v>
      </c>
      <c r="H187" s="17" t="s">
        <v>627</v>
      </c>
      <c r="I187" s="1" t="s">
        <v>69</v>
      </c>
      <c r="J187" s="1"/>
      <c r="K187" s="1">
        <v>49</v>
      </c>
      <c r="L187" s="1">
        <v>157.30000000000001</v>
      </c>
      <c r="M187" s="1">
        <f t="shared" ref="M187:M219" si="8">L187/100</f>
        <v>1.5730000000000002</v>
      </c>
      <c r="N187" s="7">
        <f t="shared" si="7"/>
        <v>19.803348705851157</v>
      </c>
      <c r="O187" s="1" t="s">
        <v>39</v>
      </c>
      <c r="P187" s="1">
        <v>37</v>
      </c>
      <c r="Q187" s="1" t="s">
        <v>38</v>
      </c>
      <c r="R187" s="1" t="s">
        <v>162</v>
      </c>
      <c r="S187" s="1" t="s">
        <v>38</v>
      </c>
      <c r="T187" s="1" t="s">
        <v>43</v>
      </c>
      <c r="U187" s="1" t="s">
        <v>41</v>
      </c>
      <c r="V187" s="1"/>
      <c r="W187" s="1" t="s">
        <v>41</v>
      </c>
      <c r="X187" s="1"/>
      <c r="Y187" s="1" t="s">
        <v>41</v>
      </c>
      <c r="Z187" s="1"/>
      <c r="AA187" s="1" t="s">
        <v>38</v>
      </c>
      <c r="AB187" s="1" t="s">
        <v>55</v>
      </c>
      <c r="AC187" s="1" t="s">
        <v>41</v>
      </c>
      <c r="AD187" s="1"/>
      <c r="AE187" s="1" t="s">
        <v>41</v>
      </c>
      <c r="AF187" s="1"/>
      <c r="AG187" s="1" t="s">
        <v>38</v>
      </c>
      <c r="AH187" s="1" t="s">
        <v>41</v>
      </c>
      <c r="AI187" s="1" t="s">
        <v>41</v>
      </c>
      <c r="AJ187" s="1" t="s">
        <v>41</v>
      </c>
      <c r="AK187" s="1" t="s">
        <v>38</v>
      </c>
      <c r="AL187" s="1" t="s">
        <v>41</v>
      </c>
      <c r="AM187" s="1" t="s">
        <v>41</v>
      </c>
      <c r="AN187" s="1" t="s">
        <v>41</v>
      </c>
      <c r="AO187" s="1" t="s">
        <v>41</v>
      </c>
      <c r="AP187" s="50" t="s">
        <v>174</v>
      </c>
      <c r="AQ187" s="50" t="s">
        <v>72</v>
      </c>
      <c r="AR187" s="1">
        <v>2</v>
      </c>
      <c r="AS187" s="1"/>
      <c r="AT187" s="1">
        <v>1</v>
      </c>
      <c r="AU187" s="1"/>
      <c r="AV187" s="1" t="s">
        <v>58</v>
      </c>
    </row>
    <row r="188" spans="1:48" ht="15.75" customHeight="1" x14ac:dyDescent="0.3">
      <c r="A188" s="1">
        <v>200</v>
      </c>
      <c r="B188" s="16">
        <v>44869</v>
      </c>
      <c r="C188" s="1" t="s">
        <v>628</v>
      </c>
      <c r="D188" s="1" t="s">
        <v>628</v>
      </c>
      <c r="E188" s="1" t="s">
        <v>535</v>
      </c>
      <c r="F188" s="1" t="s">
        <v>36</v>
      </c>
      <c r="G188" s="1">
        <v>47</v>
      </c>
      <c r="H188" s="17" t="s">
        <v>629</v>
      </c>
      <c r="I188" s="1" t="s">
        <v>69</v>
      </c>
      <c r="J188" s="1"/>
      <c r="K188" s="1">
        <v>54</v>
      </c>
      <c r="L188" s="1">
        <v>165</v>
      </c>
      <c r="M188" s="1">
        <f t="shared" si="8"/>
        <v>1.65</v>
      </c>
      <c r="N188" s="7">
        <f t="shared" si="7"/>
        <v>19.834710743801654</v>
      </c>
      <c r="O188" s="1" t="s">
        <v>39</v>
      </c>
      <c r="P188" s="1">
        <v>37</v>
      </c>
      <c r="Q188" s="1" t="s">
        <v>38</v>
      </c>
      <c r="R188" s="1" t="s">
        <v>50</v>
      </c>
      <c r="S188" s="1" t="s">
        <v>38</v>
      </c>
      <c r="T188" s="1" t="s">
        <v>50</v>
      </c>
      <c r="U188" s="1" t="s">
        <v>38</v>
      </c>
      <c r="V188" s="1" t="s">
        <v>132</v>
      </c>
      <c r="W188" s="1" t="s">
        <v>38</v>
      </c>
      <c r="X188" s="1" t="s">
        <v>50</v>
      </c>
      <c r="Y188" s="1" t="s">
        <v>41</v>
      </c>
      <c r="Z188" s="1"/>
      <c r="AA188" s="1" t="s">
        <v>41</v>
      </c>
      <c r="AB188" s="1"/>
      <c r="AC188" s="1" t="s">
        <v>41</v>
      </c>
      <c r="AD188" s="1"/>
      <c r="AE188" s="1" t="s">
        <v>41</v>
      </c>
      <c r="AF188" s="1"/>
      <c r="AG188" s="1" t="s">
        <v>38</v>
      </c>
      <c r="AH188" s="1" t="s">
        <v>41</v>
      </c>
      <c r="AI188" s="1" t="s">
        <v>41</v>
      </c>
      <c r="AJ188" s="1" t="s">
        <v>41</v>
      </c>
      <c r="AK188" s="1" t="s">
        <v>38</v>
      </c>
      <c r="AL188" s="1" t="s">
        <v>41</v>
      </c>
      <c r="AM188" s="1" t="s">
        <v>41</v>
      </c>
      <c r="AN188" s="1" t="s">
        <v>41</v>
      </c>
      <c r="AO188" s="1" t="s">
        <v>41</v>
      </c>
      <c r="AP188" s="50" t="s">
        <v>118</v>
      </c>
      <c r="AQ188" s="50" t="s">
        <v>61</v>
      </c>
      <c r="AR188" s="1">
        <v>2</v>
      </c>
      <c r="AS188" s="1"/>
      <c r="AT188" s="1">
        <v>1</v>
      </c>
      <c r="AU188" s="1"/>
      <c r="AV188" s="1" t="s">
        <v>46</v>
      </c>
    </row>
    <row r="189" spans="1:48" ht="15.75" customHeight="1" x14ac:dyDescent="0.3">
      <c r="A189" s="1">
        <v>201</v>
      </c>
      <c r="B189" s="16">
        <v>44936</v>
      </c>
      <c r="C189" s="1" t="s">
        <v>630</v>
      </c>
      <c r="D189" s="1" t="s">
        <v>630</v>
      </c>
      <c r="E189" s="1" t="s">
        <v>478</v>
      </c>
      <c r="F189" s="1" t="s">
        <v>87</v>
      </c>
      <c r="G189" s="1">
        <v>56</v>
      </c>
      <c r="H189" s="17" t="s">
        <v>631</v>
      </c>
      <c r="I189" s="1" t="s">
        <v>68</v>
      </c>
      <c r="J189" s="1"/>
      <c r="K189" s="1">
        <v>56</v>
      </c>
      <c r="L189" s="1">
        <v>167</v>
      </c>
      <c r="M189" s="1">
        <f t="shared" si="8"/>
        <v>1.67</v>
      </c>
      <c r="N189" s="7">
        <f t="shared" si="7"/>
        <v>20.07960127648894</v>
      </c>
      <c r="O189" s="1" t="s">
        <v>39</v>
      </c>
      <c r="P189" s="1">
        <v>37</v>
      </c>
      <c r="Q189" s="1" t="s">
        <v>38</v>
      </c>
      <c r="R189" s="1" t="s">
        <v>632</v>
      </c>
      <c r="S189" s="1" t="s">
        <v>38</v>
      </c>
      <c r="T189" s="1" t="s">
        <v>50</v>
      </c>
      <c r="U189" s="1" t="s">
        <v>41</v>
      </c>
      <c r="V189" s="1"/>
      <c r="W189" s="1" t="s">
        <v>38</v>
      </c>
      <c r="X189" s="1" t="s">
        <v>228</v>
      </c>
      <c r="Y189" s="1" t="s">
        <v>38</v>
      </c>
      <c r="Z189" s="1" t="s">
        <v>43</v>
      </c>
      <c r="AA189" s="1" t="s">
        <v>38</v>
      </c>
      <c r="AB189" s="1" t="s">
        <v>632</v>
      </c>
      <c r="AC189" s="1" t="s">
        <v>41</v>
      </c>
      <c r="AD189" s="1"/>
      <c r="AE189" s="1" t="s">
        <v>41</v>
      </c>
      <c r="AF189" s="1"/>
      <c r="AG189" s="1" t="s">
        <v>38</v>
      </c>
      <c r="AH189" s="1" t="s">
        <v>41</v>
      </c>
      <c r="AI189" s="1" t="s">
        <v>41</v>
      </c>
      <c r="AJ189" s="1" t="s">
        <v>41</v>
      </c>
      <c r="AK189" s="1" t="s">
        <v>41</v>
      </c>
      <c r="AL189" s="1" t="s">
        <v>41</v>
      </c>
      <c r="AM189" s="1" t="s">
        <v>41</v>
      </c>
      <c r="AN189" s="1" t="s">
        <v>41</v>
      </c>
      <c r="AO189" s="1" t="s">
        <v>41</v>
      </c>
      <c r="AP189" s="50" t="s">
        <v>79</v>
      </c>
      <c r="AQ189" s="50" t="s">
        <v>72</v>
      </c>
      <c r="AR189" s="1">
        <v>3</v>
      </c>
      <c r="AS189" s="1"/>
      <c r="AT189" s="1">
        <v>4</v>
      </c>
      <c r="AU189" s="1"/>
      <c r="AV189" s="1" t="s">
        <v>46</v>
      </c>
    </row>
    <row r="190" spans="1:48" ht="15.75" customHeight="1" x14ac:dyDescent="0.3">
      <c r="A190" s="1">
        <v>202</v>
      </c>
      <c r="B190" s="16">
        <v>44875</v>
      </c>
      <c r="C190" s="1" t="s">
        <v>633</v>
      </c>
      <c r="D190" s="1" t="s">
        <v>633</v>
      </c>
      <c r="E190" s="1" t="s">
        <v>608</v>
      </c>
      <c r="F190" s="1" t="s">
        <v>36</v>
      </c>
      <c r="G190" s="1">
        <v>66</v>
      </c>
      <c r="H190" s="1"/>
      <c r="I190" s="1" t="s">
        <v>69</v>
      </c>
      <c r="J190" s="1"/>
      <c r="K190" s="1">
        <v>45</v>
      </c>
      <c r="L190" s="1">
        <v>155</v>
      </c>
      <c r="M190" s="1">
        <f t="shared" si="8"/>
        <v>1.55</v>
      </c>
      <c r="N190" s="7">
        <f t="shared" si="7"/>
        <v>18.730489073881373</v>
      </c>
      <c r="O190" s="1" t="s">
        <v>39</v>
      </c>
      <c r="P190" s="1">
        <v>37</v>
      </c>
      <c r="Q190" s="1" t="s">
        <v>38</v>
      </c>
      <c r="R190" s="1" t="s">
        <v>634</v>
      </c>
      <c r="S190" s="1" t="s">
        <v>41</v>
      </c>
      <c r="T190" s="1"/>
      <c r="U190" s="1" t="s">
        <v>41</v>
      </c>
      <c r="V190" s="1"/>
      <c r="W190" s="1" t="s">
        <v>41</v>
      </c>
      <c r="X190" s="1"/>
      <c r="Y190" s="1" t="s">
        <v>41</v>
      </c>
      <c r="Z190" s="1"/>
      <c r="AA190" s="1" t="s">
        <v>41</v>
      </c>
      <c r="AB190" s="1"/>
      <c r="AC190" s="1" t="s">
        <v>41</v>
      </c>
      <c r="AD190" s="1"/>
      <c r="AE190" s="1" t="s">
        <v>41</v>
      </c>
      <c r="AF190" s="1"/>
      <c r="AG190" s="1" t="s">
        <v>38</v>
      </c>
      <c r="AH190" s="1" t="s">
        <v>41</v>
      </c>
      <c r="AI190" s="1" t="s">
        <v>41</v>
      </c>
      <c r="AJ190" s="1" t="s">
        <v>38</v>
      </c>
      <c r="AK190" s="1" t="s">
        <v>38</v>
      </c>
      <c r="AL190" s="1" t="s">
        <v>41</v>
      </c>
      <c r="AM190" s="1" t="s">
        <v>41</v>
      </c>
      <c r="AN190" s="1" t="s">
        <v>41</v>
      </c>
      <c r="AO190" s="1" t="s">
        <v>41</v>
      </c>
      <c r="AP190" s="50" t="s">
        <v>437</v>
      </c>
      <c r="AQ190" s="50" t="s">
        <v>72</v>
      </c>
      <c r="AR190" s="1">
        <v>8</v>
      </c>
      <c r="AS190" s="1"/>
      <c r="AT190" s="1">
        <v>5</v>
      </c>
      <c r="AU190" s="1"/>
      <c r="AV190" s="1" t="s">
        <v>46</v>
      </c>
    </row>
    <row r="191" spans="1:48" ht="15.75" customHeight="1" x14ac:dyDescent="0.3">
      <c r="A191" s="1">
        <v>204</v>
      </c>
      <c r="B191" s="16">
        <v>44956</v>
      </c>
      <c r="C191" s="1" t="s">
        <v>635</v>
      </c>
      <c r="D191" s="1" t="str">
        <f>MID(C191, 4, LEN(C191)-3) &amp; "-" &amp; LEFT(C191, 3)</f>
        <v>MTI-P-041</v>
      </c>
      <c r="E191" s="1" t="s">
        <v>636</v>
      </c>
      <c r="F191" s="1" t="s">
        <v>36</v>
      </c>
      <c r="G191" s="1">
        <v>23</v>
      </c>
      <c r="H191" s="1"/>
      <c r="I191" s="1" t="s">
        <v>68</v>
      </c>
      <c r="J191" s="1"/>
      <c r="K191" s="1">
        <v>60</v>
      </c>
      <c r="L191" s="1">
        <v>167</v>
      </c>
      <c r="M191" s="1">
        <f t="shared" si="8"/>
        <v>1.67</v>
      </c>
      <c r="N191" s="7">
        <f t="shared" si="7"/>
        <v>21.513858510523864</v>
      </c>
      <c r="O191" s="1" t="s">
        <v>359</v>
      </c>
      <c r="P191" s="1">
        <v>36</v>
      </c>
      <c r="Q191" s="1" t="s">
        <v>38</v>
      </c>
      <c r="R191" s="1" t="s">
        <v>50</v>
      </c>
      <c r="S191" s="1" t="s">
        <v>38</v>
      </c>
      <c r="T191" s="1" t="s">
        <v>50</v>
      </c>
      <c r="U191" s="1" t="s">
        <v>41</v>
      </c>
      <c r="V191" s="1"/>
      <c r="W191" s="1" t="s">
        <v>41</v>
      </c>
      <c r="X191" s="1"/>
      <c r="Y191" s="1" t="s">
        <v>41</v>
      </c>
      <c r="Z191" s="1"/>
      <c r="AA191" s="1" t="s">
        <v>38</v>
      </c>
      <c r="AB191" s="1" t="s">
        <v>50</v>
      </c>
      <c r="AC191" s="1" t="s">
        <v>41</v>
      </c>
      <c r="AD191" s="1"/>
      <c r="AE191" s="1" t="s">
        <v>41</v>
      </c>
      <c r="AF191" s="1"/>
      <c r="AG191" s="1" t="s">
        <v>41</v>
      </c>
      <c r="AH191" s="1" t="s">
        <v>41</v>
      </c>
      <c r="AI191" s="1" t="s">
        <v>41</v>
      </c>
      <c r="AJ191" s="1" t="s">
        <v>41</v>
      </c>
      <c r="AK191" s="1" t="s">
        <v>41</v>
      </c>
      <c r="AL191" s="1" t="s">
        <v>41</v>
      </c>
      <c r="AM191" s="1" t="s">
        <v>41</v>
      </c>
      <c r="AN191" s="1" t="s">
        <v>41</v>
      </c>
      <c r="AO191" s="1" t="s">
        <v>41</v>
      </c>
      <c r="AP191" s="50" t="s">
        <v>71</v>
      </c>
      <c r="AQ191" s="50" t="s">
        <v>72</v>
      </c>
      <c r="AR191" s="1">
        <v>9</v>
      </c>
      <c r="AS191" s="1"/>
      <c r="AT191" s="1">
        <v>6</v>
      </c>
      <c r="AU191" s="1"/>
      <c r="AV191" s="1" t="s">
        <v>46</v>
      </c>
    </row>
    <row r="192" spans="1:48" ht="15.75" customHeight="1" x14ac:dyDescent="0.3">
      <c r="A192" s="1">
        <v>205</v>
      </c>
      <c r="B192" s="16">
        <v>44956</v>
      </c>
      <c r="C192" s="1" t="s">
        <v>637</v>
      </c>
      <c r="D192" s="1" t="str">
        <f>MID(C192, 4, LEN(C192)-3) &amp; "-" &amp; LEFT(C192, 3)</f>
        <v>MTI-P-042</v>
      </c>
      <c r="E192" s="1" t="s">
        <v>638</v>
      </c>
      <c r="F192" s="1" t="s">
        <v>36</v>
      </c>
      <c r="G192" s="1">
        <v>36</v>
      </c>
      <c r="H192" s="1"/>
      <c r="I192" s="1" t="s">
        <v>68</v>
      </c>
      <c r="J192" s="1"/>
      <c r="K192" s="1">
        <v>55</v>
      </c>
      <c r="L192" s="1">
        <v>169</v>
      </c>
      <c r="M192" s="1">
        <f t="shared" si="8"/>
        <v>1.69</v>
      </c>
      <c r="N192" s="7">
        <f t="shared" si="7"/>
        <v>19.257028815517668</v>
      </c>
      <c r="O192" s="1" t="s">
        <v>359</v>
      </c>
      <c r="P192" s="1">
        <v>36</v>
      </c>
      <c r="Q192" s="1" t="s">
        <v>38</v>
      </c>
      <c r="R192" s="1" t="s">
        <v>354</v>
      </c>
      <c r="S192" s="1" t="s">
        <v>38</v>
      </c>
      <c r="T192" s="1" t="s">
        <v>354</v>
      </c>
      <c r="U192" s="1" t="s">
        <v>38</v>
      </c>
      <c r="V192" s="1" t="s">
        <v>354</v>
      </c>
      <c r="W192" s="1" t="s">
        <v>38</v>
      </c>
      <c r="X192" s="1" t="s">
        <v>65</v>
      </c>
      <c r="Y192" s="1" t="s">
        <v>38</v>
      </c>
      <c r="Z192" s="1" t="s">
        <v>65</v>
      </c>
      <c r="AA192" s="1" t="s">
        <v>41</v>
      </c>
      <c r="AB192" s="1"/>
      <c r="AC192" s="1" t="s">
        <v>38</v>
      </c>
      <c r="AD192" s="1" t="s">
        <v>51</v>
      </c>
      <c r="AE192" s="1" t="s">
        <v>41</v>
      </c>
      <c r="AF192" s="1"/>
      <c r="AG192" s="1" t="s">
        <v>41</v>
      </c>
      <c r="AH192" s="1" t="s">
        <v>41</v>
      </c>
      <c r="AI192" s="1" t="s">
        <v>41</v>
      </c>
      <c r="AJ192" s="1" t="s">
        <v>41</v>
      </c>
      <c r="AK192" s="1" t="s">
        <v>41</v>
      </c>
      <c r="AL192" s="1" t="s">
        <v>41</v>
      </c>
      <c r="AM192" s="1" t="s">
        <v>41</v>
      </c>
      <c r="AN192" s="1" t="s">
        <v>41</v>
      </c>
      <c r="AO192" s="1" t="s">
        <v>41</v>
      </c>
      <c r="AP192" s="50" t="s">
        <v>639</v>
      </c>
      <c r="AQ192" s="50" t="s">
        <v>72</v>
      </c>
      <c r="AR192" s="1">
        <v>2</v>
      </c>
      <c r="AS192" s="1"/>
      <c r="AT192" s="1">
        <v>2</v>
      </c>
      <c r="AU192" s="1"/>
      <c r="AV192" s="1" t="s">
        <v>58</v>
      </c>
    </row>
    <row r="193" spans="1:48" ht="15.75" customHeight="1" x14ac:dyDescent="0.3">
      <c r="A193" s="1">
        <v>143</v>
      </c>
      <c r="B193" s="16">
        <v>44881</v>
      </c>
      <c r="C193" s="1" t="s">
        <v>456</v>
      </c>
      <c r="D193" s="1" t="s">
        <v>456</v>
      </c>
      <c r="E193" s="1" t="s">
        <v>457</v>
      </c>
      <c r="F193" s="1" t="s">
        <v>36</v>
      </c>
      <c r="G193" s="1">
        <v>28</v>
      </c>
      <c r="H193" s="1"/>
      <c r="I193" s="1" t="s">
        <v>68</v>
      </c>
      <c r="J193" s="1"/>
      <c r="K193" s="1">
        <v>53</v>
      </c>
      <c r="L193" s="1">
        <v>160</v>
      </c>
      <c r="M193" s="1">
        <f t="shared" si="8"/>
        <v>1.6</v>
      </c>
      <c r="N193" s="7">
        <f t="shared" si="7"/>
        <v>20.703124999999996</v>
      </c>
      <c r="O193" s="1" t="s">
        <v>39</v>
      </c>
      <c r="P193" s="1">
        <v>37.200000000000003</v>
      </c>
      <c r="Q193" s="1" t="s">
        <v>38</v>
      </c>
      <c r="R193" s="1" t="s">
        <v>43</v>
      </c>
      <c r="S193" s="1" t="s">
        <v>38</v>
      </c>
      <c r="T193" s="1" t="s">
        <v>43</v>
      </c>
      <c r="U193" s="1" t="s">
        <v>38</v>
      </c>
      <c r="V193" s="1" t="s">
        <v>43</v>
      </c>
      <c r="W193" s="1" t="s">
        <v>38</v>
      </c>
      <c r="X193" s="1" t="s">
        <v>43</v>
      </c>
      <c r="Y193" s="1" t="s">
        <v>41</v>
      </c>
      <c r="Z193" s="1"/>
      <c r="AA193" s="1" t="s">
        <v>38</v>
      </c>
      <c r="AB193" s="1" t="s">
        <v>43</v>
      </c>
      <c r="AC193" s="1" t="s">
        <v>41</v>
      </c>
      <c r="AD193" s="1"/>
      <c r="AE193" s="1" t="s">
        <v>41</v>
      </c>
      <c r="AF193" s="1"/>
      <c r="AG193" s="1" t="s">
        <v>41</v>
      </c>
      <c r="AH193" s="1" t="s">
        <v>41</v>
      </c>
      <c r="AI193" s="1" t="s">
        <v>41</v>
      </c>
      <c r="AJ193" s="1" t="s">
        <v>41</v>
      </c>
      <c r="AK193" s="1" t="s">
        <v>41</v>
      </c>
      <c r="AL193" s="1" t="s">
        <v>41</v>
      </c>
      <c r="AM193" s="1" t="s">
        <v>41</v>
      </c>
      <c r="AN193" s="1" t="s">
        <v>41</v>
      </c>
      <c r="AO193" s="1" t="s">
        <v>41</v>
      </c>
      <c r="AP193" s="50" t="s">
        <v>481</v>
      </c>
      <c r="AQ193" s="50" t="s">
        <v>57</v>
      </c>
      <c r="AR193" s="1">
        <v>4</v>
      </c>
      <c r="AS193" s="1"/>
      <c r="AT193" s="1">
        <v>1</v>
      </c>
      <c r="AU193" s="1"/>
      <c r="AV193" s="1" t="s">
        <v>58</v>
      </c>
    </row>
    <row r="194" spans="1:48" ht="15.75" customHeight="1" x14ac:dyDescent="0.3">
      <c r="A194" s="1">
        <v>207</v>
      </c>
      <c r="B194" s="16">
        <v>44965</v>
      </c>
      <c r="C194" s="1" t="s">
        <v>642</v>
      </c>
      <c r="D194" s="1" t="str">
        <f t="shared" ref="D194:D219" si="9">MID(C194, 4, LEN(C194)-3) &amp; "-" &amp; LEFT(C194, 3)</f>
        <v>MTI-P-044</v>
      </c>
      <c r="E194" s="1" t="s">
        <v>643</v>
      </c>
      <c r="F194" s="1" t="s">
        <v>36</v>
      </c>
      <c r="G194" s="1">
        <v>20</v>
      </c>
      <c r="H194" s="1"/>
      <c r="I194" s="1" t="s">
        <v>68</v>
      </c>
      <c r="J194" s="1"/>
      <c r="K194" s="1">
        <v>58</v>
      </c>
      <c r="L194" s="1">
        <v>185</v>
      </c>
      <c r="M194" s="1">
        <f t="shared" si="8"/>
        <v>1.85</v>
      </c>
      <c r="N194" s="7">
        <f t="shared" si="7"/>
        <v>16.946676406135865</v>
      </c>
      <c r="O194" s="1" t="s">
        <v>359</v>
      </c>
      <c r="P194" s="1">
        <v>36</v>
      </c>
      <c r="Q194" s="1" t="s">
        <v>38</v>
      </c>
      <c r="R194" s="1" t="s">
        <v>65</v>
      </c>
      <c r="S194" s="1" t="s">
        <v>38</v>
      </c>
      <c r="T194" s="1" t="s">
        <v>65</v>
      </c>
      <c r="U194" s="1" t="s">
        <v>38</v>
      </c>
      <c r="V194" s="1" t="s">
        <v>65</v>
      </c>
      <c r="W194" s="1" t="s">
        <v>41</v>
      </c>
      <c r="X194" s="1"/>
      <c r="Y194" s="1" t="s">
        <v>38</v>
      </c>
      <c r="Z194" s="1" t="s">
        <v>228</v>
      </c>
      <c r="AA194" s="1" t="s">
        <v>38</v>
      </c>
      <c r="AB194" s="1" t="s">
        <v>53</v>
      </c>
      <c r="AC194" s="1" t="s">
        <v>41</v>
      </c>
      <c r="AD194" s="1"/>
      <c r="AE194" s="1" t="s">
        <v>41</v>
      </c>
      <c r="AF194" s="1"/>
      <c r="AG194" s="1" t="s">
        <v>38</v>
      </c>
      <c r="AH194" s="1" t="s">
        <v>41</v>
      </c>
      <c r="AI194" s="1" t="s">
        <v>41</v>
      </c>
      <c r="AJ194" s="1" t="s">
        <v>41</v>
      </c>
      <c r="AK194" s="1" t="s">
        <v>41</v>
      </c>
      <c r="AL194" s="1" t="s">
        <v>41</v>
      </c>
      <c r="AM194" s="1" t="s">
        <v>41</v>
      </c>
      <c r="AN194" s="1" t="s">
        <v>41</v>
      </c>
      <c r="AO194" s="1" t="s">
        <v>41</v>
      </c>
      <c r="AP194" s="50" t="s">
        <v>79</v>
      </c>
      <c r="AQ194" s="50" t="s">
        <v>61</v>
      </c>
      <c r="AR194" s="1">
        <v>12</v>
      </c>
      <c r="AS194" s="1"/>
      <c r="AT194" s="1">
        <v>8</v>
      </c>
      <c r="AU194" s="1"/>
      <c r="AV194" s="1" t="s">
        <v>46</v>
      </c>
    </row>
    <row r="195" spans="1:48" ht="15.75" customHeight="1" x14ac:dyDescent="0.3">
      <c r="A195" s="1">
        <v>209</v>
      </c>
      <c r="B195" s="16">
        <v>44977</v>
      </c>
      <c r="C195" s="1" t="s">
        <v>644</v>
      </c>
      <c r="D195" s="1" t="str">
        <f t="shared" si="9"/>
        <v>MTI-P-046</v>
      </c>
      <c r="E195" s="1" t="s">
        <v>601</v>
      </c>
      <c r="F195" s="1" t="s">
        <v>36</v>
      </c>
      <c r="G195" s="1">
        <v>36</v>
      </c>
      <c r="H195" s="1"/>
      <c r="I195" s="1" t="s">
        <v>68</v>
      </c>
      <c r="J195" s="1"/>
      <c r="K195" s="1">
        <v>51</v>
      </c>
      <c r="L195" s="1">
        <v>170</v>
      </c>
      <c r="M195" s="1">
        <f t="shared" si="8"/>
        <v>1.7</v>
      </c>
      <c r="N195" s="7">
        <f t="shared" ref="N195:N219" si="10">K195/(M195*M195)</f>
        <v>17.647058823529413</v>
      </c>
      <c r="O195" s="1" t="s">
        <v>359</v>
      </c>
      <c r="P195" s="1">
        <v>39</v>
      </c>
      <c r="Q195" s="1" t="s">
        <v>38</v>
      </c>
      <c r="R195" s="1" t="s">
        <v>65</v>
      </c>
      <c r="S195" s="1" t="s">
        <v>38</v>
      </c>
      <c r="T195" s="1" t="s">
        <v>65</v>
      </c>
      <c r="U195" s="1" t="s">
        <v>38</v>
      </c>
      <c r="V195" s="1" t="s">
        <v>65</v>
      </c>
      <c r="W195" s="1" t="s">
        <v>38</v>
      </c>
      <c r="X195" s="1" t="s">
        <v>65</v>
      </c>
      <c r="Y195" s="1" t="s">
        <v>38</v>
      </c>
      <c r="Z195" s="1" t="s">
        <v>43</v>
      </c>
      <c r="AA195" s="1" t="s">
        <v>38</v>
      </c>
      <c r="AB195" s="1" t="s">
        <v>65</v>
      </c>
      <c r="AC195" s="1" t="s">
        <v>41</v>
      </c>
      <c r="AD195" s="1"/>
      <c r="AE195" s="1" t="s">
        <v>645</v>
      </c>
      <c r="AF195" s="1"/>
      <c r="AG195" s="1" t="s">
        <v>38</v>
      </c>
      <c r="AH195" s="1" t="s">
        <v>41</v>
      </c>
      <c r="AI195" s="1" t="s">
        <v>41</v>
      </c>
      <c r="AJ195" s="1" t="s">
        <v>38</v>
      </c>
      <c r="AK195" s="1" t="s">
        <v>38</v>
      </c>
      <c r="AL195" s="1" t="s">
        <v>41</v>
      </c>
      <c r="AM195" s="1" t="s">
        <v>41</v>
      </c>
      <c r="AN195" s="1" t="s">
        <v>41</v>
      </c>
      <c r="AO195" s="1" t="s">
        <v>41</v>
      </c>
      <c r="AP195" s="50" t="s">
        <v>646</v>
      </c>
      <c r="AQ195" s="50" t="s">
        <v>57</v>
      </c>
      <c r="AR195" s="1">
        <v>3</v>
      </c>
      <c r="AS195" s="1"/>
      <c r="AT195" s="1">
        <v>1</v>
      </c>
      <c r="AU195" s="1"/>
      <c r="AV195" s="1" t="s">
        <v>58</v>
      </c>
    </row>
    <row r="196" spans="1:48" ht="15.75" customHeight="1" x14ac:dyDescent="0.3">
      <c r="A196" s="1">
        <v>210</v>
      </c>
      <c r="B196" s="16">
        <v>44977</v>
      </c>
      <c r="C196" s="1" t="s">
        <v>647</v>
      </c>
      <c r="D196" s="1" t="str">
        <f t="shared" si="9"/>
        <v>MTI-P-047</v>
      </c>
      <c r="E196" s="1" t="s">
        <v>648</v>
      </c>
      <c r="F196" s="1" t="s">
        <v>36</v>
      </c>
      <c r="G196" s="1">
        <v>23</v>
      </c>
      <c r="H196" s="1"/>
      <c r="I196" s="1" t="s">
        <v>68</v>
      </c>
      <c r="J196" s="1"/>
      <c r="K196" s="1">
        <v>47</v>
      </c>
      <c r="L196" s="1">
        <v>174</v>
      </c>
      <c r="M196" s="1">
        <f t="shared" si="8"/>
        <v>1.74</v>
      </c>
      <c r="N196" s="7">
        <f t="shared" si="10"/>
        <v>15.523847271766416</v>
      </c>
      <c r="O196" s="1" t="s">
        <v>359</v>
      </c>
      <c r="P196" s="1">
        <v>38</v>
      </c>
      <c r="Q196" s="1" t="s">
        <v>38</v>
      </c>
      <c r="R196" s="1" t="s">
        <v>649</v>
      </c>
      <c r="S196" s="1" t="s">
        <v>38</v>
      </c>
      <c r="T196" s="1" t="s">
        <v>354</v>
      </c>
      <c r="U196" s="1" t="s">
        <v>38</v>
      </c>
      <c r="V196" s="1" t="s">
        <v>114</v>
      </c>
      <c r="W196" s="1" t="s">
        <v>41</v>
      </c>
      <c r="X196" s="1"/>
      <c r="Y196" s="1" t="s">
        <v>38</v>
      </c>
      <c r="Z196" s="1" t="s">
        <v>51</v>
      </c>
      <c r="AA196" s="1" t="s">
        <v>38</v>
      </c>
      <c r="AB196" s="1" t="s">
        <v>52</v>
      </c>
      <c r="AC196" s="1" t="s">
        <v>41</v>
      </c>
      <c r="AD196" s="1"/>
      <c r="AE196" s="1" t="s">
        <v>41</v>
      </c>
      <c r="AF196" s="1"/>
      <c r="AG196" s="1" t="s">
        <v>38</v>
      </c>
      <c r="AH196" s="1" t="s">
        <v>41</v>
      </c>
      <c r="AI196" s="1" t="s">
        <v>41</v>
      </c>
      <c r="AJ196" s="1" t="s">
        <v>41</v>
      </c>
      <c r="AK196" s="1" t="s">
        <v>41</v>
      </c>
      <c r="AL196" s="1" t="s">
        <v>41</v>
      </c>
      <c r="AM196" s="1" t="s">
        <v>41</v>
      </c>
      <c r="AN196" s="1" t="s">
        <v>41</v>
      </c>
      <c r="AO196" s="1" t="s">
        <v>41</v>
      </c>
      <c r="AP196" s="50" t="s">
        <v>79</v>
      </c>
      <c r="AQ196" s="50" t="s">
        <v>61</v>
      </c>
      <c r="AR196" s="1">
        <v>3</v>
      </c>
      <c r="AS196" s="1"/>
      <c r="AT196" s="1">
        <v>1</v>
      </c>
      <c r="AU196" s="1"/>
      <c r="AV196" s="1" t="s">
        <v>58</v>
      </c>
    </row>
    <row r="197" spans="1:48" ht="15.75" customHeight="1" x14ac:dyDescent="0.3">
      <c r="A197" s="1">
        <v>211</v>
      </c>
      <c r="B197" s="16">
        <v>44979</v>
      </c>
      <c r="C197" s="1" t="s">
        <v>650</v>
      </c>
      <c r="D197" s="1" t="str">
        <f t="shared" si="9"/>
        <v>MTI-P-048</v>
      </c>
      <c r="E197" s="1" t="s">
        <v>651</v>
      </c>
      <c r="F197" s="1" t="s">
        <v>36</v>
      </c>
      <c r="G197" s="1">
        <v>42</v>
      </c>
      <c r="H197" s="1"/>
      <c r="I197" s="1" t="s">
        <v>68</v>
      </c>
      <c r="J197" s="1"/>
      <c r="K197" s="1">
        <v>57</v>
      </c>
      <c r="L197" s="1">
        <v>163</v>
      </c>
      <c r="M197" s="1">
        <f t="shared" si="8"/>
        <v>1.63</v>
      </c>
      <c r="N197" s="7">
        <f t="shared" si="10"/>
        <v>21.453573713726524</v>
      </c>
      <c r="O197" s="1" t="s">
        <v>359</v>
      </c>
      <c r="P197" s="1">
        <v>38</v>
      </c>
      <c r="Q197" s="1" t="s">
        <v>38</v>
      </c>
      <c r="R197" s="1" t="s">
        <v>65</v>
      </c>
      <c r="S197" s="1" t="s">
        <v>38</v>
      </c>
      <c r="T197" s="1" t="s">
        <v>65</v>
      </c>
      <c r="U197" s="1" t="s">
        <v>38</v>
      </c>
      <c r="V197" s="1" t="s">
        <v>652</v>
      </c>
      <c r="W197" s="1" t="s">
        <v>38</v>
      </c>
      <c r="X197" s="1" t="s">
        <v>65</v>
      </c>
      <c r="Y197" s="1" t="s">
        <v>41</v>
      </c>
      <c r="Z197" s="1"/>
      <c r="AA197" s="1" t="s">
        <v>41</v>
      </c>
      <c r="AB197" s="1"/>
      <c r="AC197" s="1" t="s">
        <v>41</v>
      </c>
      <c r="AD197" s="1"/>
      <c r="AE197" s="1" t="s">
        <v>41</v>
      </c>
      <c r="AF197" s="1"/>
      <c r="AG197" s="1" t="s">
        <v>38</v>
      </c>
      <c r="AH197" s="1" t="s">
        <v>41</v>
      </c>
      <c r="AI197" s="1" t="s">
        <v>41</v>
      </c>
      <c r="AJ197" s="1" t="s">
        <v>41</v>
      </c>
      <c r="AK197" s="1" t="s">
        <v>41</v>
      </c>
      <c r="AL197" s="1" t="s">
        <v>41</v>
      </c>
      <c r="AM197" s="1" t="s">
        <v>41</v>
      </c>
      <c r="AN197" s="1" t="s">
        <v>41</v>
      </c>
      <c r="AO197" s="1" t="s">
        <v>41</v>
      </c>
      <c r="AP197" s="50" t="s">
        <v>344</v>
      </c>
      <c r="AQ197" s="50" t="s">
        <v>99</v>
      </c>
      <c r="AR197" s="1">
        <v>1</v>
      </c>
      <c r="AS197" s="1"/>
      <c r="AT197" s="1">
        <v>1</v>
      </c>
      <c r="AU197" s="1"/>
      <c r="AV197" s="1" t="s">
        <v>106</v>
      </c>
    </row>
    <row r="198" spans="1:48" ht="15.75" customHeight="1" x14ac:dyDescent="0.3">
      <c r="A198" s="1">
        <v>212</v>
      </c>
      <c r="B198" s="16">
        <v>45000</v>
      </c>
      <c r="C198" s="1" t="s">
        <v>653</v>
      </c>
      <c r="D198" s="1" t="str">
        <f t="shared" si="9"/>
        <v>MTI-P-050</v>
      </c>
      <c r="E198" s="1" t="s">
        <v>654</v>
      </c>
      <c r="F198" s="1" t="s">
        <v>36</v>
      </c>
      <c r="G198" s="1">
        <v>28</v>
      </c>
      <c r="H198" s="1"/>
      <c r="I198" s="1" t="s">
        <v>68</v>
      </c>
      <c r="J198" s="1"/>
      <c r="K198" s="1">
        <v>48</v>
      </c>
      <c r="L198" s="1">
        <v>166</v>
      </c>
      <c r="M198" s="1">
        <f t="shared" si="8"/>
        <v>1.66</v>
      </c>
      <c r="N198" s="7">
        <f t="shared" si="10"/>
        <v>17.419073885905068</v>
      </c>
      <c r="O198" s="1" t="s">
        <v>359</v>
      </c>
      <c r="P198" s="1">
        <v>37</v>
      </c>
      <c r="Q198" s="1" t="s">
        <v>38</v>
      </c>
      <c r="R198" s="1" t="s">
        <v>50</v>
      </c>
      <c r="S198" s="1" t="s">
        <v>38</v>
      </c>
      <c r="T198" s="1" t="s">
        <v>53</v>
      </c>
      <c r="U198" s="1" t="s">
        <v>41</v>
      </c>
      <c r="V198" s="1"/>
      <c r="W198" s="1" t="s">
        <v>41</v>
      </c>
      <c r="X198" s="1"/>
      <c r="Y198" s="1" t="s">
        <v>41</v>
      </c>
      <c r="Z198" s="1"/>
      <c r="AA198" s="1" t="s">
        <v>38</v>
      </c>
      <c r="AB198" s="1" t="s">
        <v>53</v>
      </c>
      <c r="AC198" s="1" t="s">
        <v>41</v>
      </c>
      <c r="AD198" s="1"/>
      <c r="AE198" s="1" t="s">
        <v>41</v>
      </c>
      <c r="AF198" s="1"/>
      <c r="AG198" s="1" t="s">
        <v>41</v>
      </c>
      <c r="AH198" s="1" t="s">
        <v>41</v>
      </c>
      <c r="AI198" s="1" t="s">
        <v>41</v>
      </c>
      <c r="AJ198" s="1" t="s">
        <v>41</v>
      </c>
      <c r="AK198" s="1" t="s">
        <v>41</v>
      </c>
      <c r="AL198" s="1" t="s">
        <v>41</v>
      </c>
      <c r="AM198" s="1" t="s">
        <v>41</v>
      </c>
      <c r="AN198" s="1" t="s">
        <v>41</v>
      </c>
      <c r="AO198" s="1" t="s">
        <v>41</v>
      </c>
      <c r="AP198" s="50" t="s">
        <v>655</v>
      </c>
      <c r="AQ198" s="50" t="s">
        <v>61</v>
      </c>
      <c r="AR198" s="1">
        <v>1</v>
      </c>
      <c r="AS198" s="1"/>
      <c r="AT198" s="1">
        <v>1</v>
      </c>
      <c r="AU198" s="1"/>
      <c r="AV198" s="1" t="s">
        <v>58</v>
      </c>
    </row>
    <row r="199" spans="1:48" ht="15.75" customHeight="1" x14ac:dyDescent="0.3">
      <c r="A199" s="1">
        <v>213</v>
      </c>
      <c r="B199" s="19">
        <v>45069</v>
      </c>
      <c r="C199" s="1" t="s">
        <v>656</v>
      </c>
      <c r="D199" s="1" t="str">
        <f t="shared" si="9"/>
        <v>MTI-P-051</v>
      </c>
      <c r="E199" s="1" t="s">
        <v>641</v>
      </c>
      <c r="F199" s="1" t="s">
        <v>36</v>
      </c>
      <c r="G199" s="1">
        <v>65</v>
      </c>
      <c r="H199" s="1"/>
      <c r="I199" s="1" t="s">
        <v>68</v>
      </c>
      <c r="J199" s="1"/>
      <c r="K199" s="1">
        <v>56</v>
      </c>
      <c r="L199" s="1">
        <v>173</v>
      </c>
      <c r="M199" s="1">
        <f t="shared" si="8"/>
        <v>1.73</v>
      </c>
      <c r="N199" s="7">
        <f t="shared" si="10"/>
        <v>18.710949246550168</v>
      </c>
      <c r="O199" s="1" t="s">
        <v>359</v>
      </c>
      <c r="P199" s="1">
        <v>37</v>
      </c>
      <c r="Q199" s="1" t="s">
        <v>38</v>
      </c>
      <c r="R199" s="1" t="s">
        <v>50</v>
      </c>
      <c r="S199" s="1" t="s">
        <v>38</v>
      </c>
      <c r="T199" s="1" t="s">
        <v>50</v>
      </c>
      <c r="U199" s="1" t="s">
        <v>38</v>
      </c>
      <c r="V199" s="1" t="s">
        <v>50</v>
      </c>
      <c r="W199" s="1" t="s">
        <v>38</v>
      </c>
      <c r="X199" s="1" t="s">
        <v>50</v>
      </c>
      <c r="Y199" s="1" t="s">
        <v>41</v>
      </c>
      <c r="Z199" s="1"/>
      <c r="AA199" s="1" t="s">
        <v>38</v>
      </c>
      <c r="AB199" s="1" t="s">
        <v>50</v>
      </c>
      <c r="AC199" s="1" t="s">
        <v>41</v>
      </c>
      <c r="AD199" s="1"/>
      <c r="AE199" s="1" t="s">
        <v>41</v>
      </c>
      <c r="AF199" s="1"/>
      <c r="AG199" s="1" t="s">
        <v>38</v>
      </c>
      <c r="AH199" s="1" t="s">
        <v>41</v>
      </c>
      <c r="AI199" s="1" t="s">
        <v>41</v>
      </c>
      <c r="AJ199" s="1" t="s">
        <v>41</v>
      </c>
      <c r="AK199" s="1" t="s">
        <v>41</v>
      </c>
      <c r="AL199" s="1" t="s">
        <v>41</v>
      </c>
      <c r="AM199" s="1" t="s">
        <v>41</v>
      </c>
      <c r="AN199" s="1" t="s">
        <v>41</v>
      </c>
      <c r="AO199" s="1" t="s">
        <v>41</v>
      </c>
      <c r="AP199" s="50" t="s">
        <v>437</v>
      </c>
      <c r="AQ199" s="50" t="s">
        <v>45</v>
      </c>
      <c r="AR199" s="1">
        <v>1</v>
      </c>
      <c r="AS199" s="1"/>
      <c r="AT199" s="1">
        <v>3</v>
      </c>
      <c r="AU199" s="1"/>
      <c r="AV199" s="1" t="s">
        <v>46</v>
      </c>
    </row>
    <row r="200" spans="1:48" ht="15.75" customHeight="1" x14ac:dyDescent="0.3">
      <c r="A200" s="1">
        <v>214</v>
      </c>
      <c r="B200" s="19">
        <v>45071</v>
      </c>
      <c r="C200" s="1" t="s">
        <v>657</v>
      </c>
      <c r="D200" s="1" t="str">
        <f t="shared" si="9"/>
        <v>MTI-P-052</v>
      </c>
      <c r="E200" s="1" t="s">
        <v>658</v>
      </c>
      <c r="F200" s="1" t="s">
        <v>36</v>
      </c>
      <c r="G200" s="1">
        <v>20</v>
      </c>
      <c r="H200" s="1"/>
      <c r="I200" s="1" t="s">
        <v>68</v>
      </c>
      <c r="J200" s="1"/>
      <c r="K200" s="1">
        <v>52</v>
      </c>
      <c r="L200" s="1">
        <v>183</v>
      </c>
      <c r="M200" s="1">
        <f t="shared" si="8"/>
        <v>1.83</v>
      </c>
      <c r="N200" s="7">
        <f t="shared" si="10"/>
        <v>15.527486637403324</v>
      </c>
      <c r="O200" s="1" t="s">
        <v>359</v>
      </c>
      <c r="P200" s="1">
        <v>39</v>
      </c>
      <c r="Q200" s="1" t="s">
        <v>38</v>
      </c>
      <c r="R200" s="1" t="s">
        <v>43</v>
      </c>
      <c r="S200" s="1" t="s">
        <v>38</v>
      </c>
      <c r="T200" s="1" t="s">
        <v>43</v>
      </c>
      <c r="U200" s="1" t="s">
        <v>38</v>
      </c>
      <c r="V200" s="1" t="s">
        <v>43</v>
      </c>
      <c r="W200" s="1" t="s">
        <v>38</v>
      </c>
      <c r="X200" s="1" t="s">
        <v>43</v>
      </c>
      <c r="Y200" s="1" t="s">
        <v>41</v>
      </c>
      <c r="Z200" s="1"/>
      <c r="AA200" s="1" t="s">
        <v>41</v>
      </c>
      <c r="AB200" s="1"/>
      <c r="AC200" s="1" t="s">
        <v>41</v>
      </c>
      <c r="AD200" s="1"/>
      <c r="AE200" s="1" t="s">
        <v>645</v>
      </c>
      <c r="AF200" s="1"/>
      <c r="AG200" s="1" t="s">
        <v>38</v>
      </c>
      <c r="AH200" s="1" t="s">
        <v>41</v>
      </c>
      <c r="AI200" s="1" t="s">
        <v>41</v>
      </c>
      <c r="AJ200" s="1" t="s">
        <v>41</v>
      </c>
      <c r="AK200" s="1" t="s">
        <v>41</v>
      </c>
      <c r="AL200" s="1" t="s">
        <v>41</v>
      </c>
      <c r="AM200" s="1" t="s">
        <v>41</v>
      </c>
      <c r="AN200" s="1" t="s">
        <v>41</v>
      </c>
      <c r="AO200" s="1" t="s">
        <v>41</v>
      </c>
      <c r="AP200" s="50" t="s">
        <v>316</v>
      </c>
      <c r="AQ200" s="50" t="s">
        <v>45</v>
      </c>
      <c r="AR200" s="1">
        <v>4</v>
      </c>
      <c r="AS200" s="1"/>
      <c r="AT200" s="1">
        <v>3</v>
      </c>
      <c r="AU200" s="1"/>
      <c r="AV200" s="1" t="s">
        <v>46</v>
      </c>
    </row>
    <row r="201" spans="1:48" ht="15.75" customHeight="1" x14ac:dyDescent="0.3">
      <c r="A201" s="1">
        <v>215</v>
      </c>
      <c r="B201" s="19">
        <v>45071</v>
      </c>
      <c r="C201" s="1" t="s">
        <v>659</v>
      </c>
      <c r="D201" s="1" t="str">
        <f t="shared" si="9"/>
        <v>MTI-P-053</v>
      </c>
      <c r="E201" s="1" t="s">
        <v>408</v>
      </c>
      <c r="F201" s="1" t="s">
        <v>87</v>
      </c>
      <c r="G201" s="1">
        <v>26</v>
      </c>
      <c r="H201" s="1"/>
      <c r="I201" s="1" t="s">
        <v>68</v>
      </c>
      <c r="J201" s="1"/>
      <c r="K201" s="1">
        <v>31</v>
      </c>
      <c r="L201" s="1">
        <v>159</v>
      </c>
      <c r="M201" s="1">
        <f t="shared" si="8"/>
        <v>1.59</v>
      </c>
      <c r="N201" s="7">
        <f t="shared" si="10"/>
        <v>12.262173173529527</v>
      </c>
      <c r="O201" s="1" t="s">
        <v>359</v>
      </c>
      <c r="P201" s="1">
        <v>38</v>
      </c>
      <c r="Q201" s="1" t="s">
        <v>38</v>
      </c>
      <c r="R201" s="1" t="s">
        <v>65</v>
      </c>
      <c r="S201" s="1" t="s">
        <v>38</v>
      </c>
      <c r="T201" s="1" t="s">
        <v>65</v>
      </c>
      <c r="U201" s="1" t="s">
        <v>38</v>
      </c>
      <c r="V201" s="1" t="s">
        <v>65</v>
      </c>
      <c r="W201" s="1" t="s">
        <v>38</v>
      </c>
      <c r="X201" s="1" t="s">
        <v>65</v>
      </c>
      <c r="Y201" s="1" t="s">
        <v>41</v>
      </c>
      <c r="Z201" s="1"/>
      <c r="AA201" s="1" t="s">
        <v>41</v>
      </c>
      <c r="AB201" s="1"/>
      <c r="AC201" s="1" t="s">
        <v>41</v>
      </c>
      <c r="AD201" s="1"/>
      <c r="AE201" s="1" t="s">
        <v>41</v>
      </c>
      <c r="AF201" s="1"/>
      <c r="AG201" s="1" t="s">
        <v>38</v>
      </c>
      <c r="AH201" s="1" t="s">
        <v>41</v>
      </c>
      <c r="AI201" s="1" t="s">
        <v>41</v>
      </c>
      <c r="AJ201" s="1" t="s">
        <v>41</v>
      </c>
      <c r="AK201" s="1" t="s">
        <v>41</v>
      </c>
      <c r="AL201" s="1" t="s">
        <v>41</v>
      </c>
      <c r="AM201" s="1" t="s">
        <v>41</v>
      </c>
      <c r="AN201" s="1" t="s">
        <v>41</v>
      </c>
      <c r="AO201" s="1" t="s">
        <v>41</v>
      </c>
      <c r="AP201" s="50" t="s">
        <v>660</v>
      </c>
      <c r="AQ201" s="50" t="s">
        <v>61</v>
      </c>
      <c r="AR201" s="1">
        <v>5</v>
      </c>
      <c r="AS201" s="1"/>
      <c r="AT201" s="1">
        <v>3</v>
      </c>
      <c r="AU201" s="1"/>
      <c r="AV201" s="1" t="s">
        <v>46</v>
      </c>
    </row>
    <row r="202" spans="1:48" ht="15.75" customHeight="1" x14ac:dyDescent="0.3">
      <c r="A202" s="1">
        <v>216</v>
      </c>
      <c r="B202" s="19">
        <v>45070</v>
      </c>
      <c r="C202" s="1" t="s">
        <v>661</v>
      </c>
      <c r="D202" s="1" t="str">
        <f t="shared" si="9"/>
        <v>MTI-P-054</v>
      </c>
      <c r="E202" s="1" t="s">
        <v>662</v>
      </c>
      <c r="F202" s="1" t="s">
        <v>87</v>
      </c>
      <c r="G202" s="1">
        <v>36</v>
      </c>
      <c r="H202" s="1"/>
      <c r="I202" s="1" t="s">
        <v>68</v>
      </c>
      <c r="J202" s="1"/>
      <c r="K202" s="1">
        <v>53</v>
      </c>
      <c r="L202" s="1">
        <v>173</v>
      </c>
      <c r="M202" s="1">
        <f t="shared" si="8"/>
        <v>1.73</v>
      </c>
      <c r="N202" s="7">
        <f t="shared" si="10"/>
        <v>17.70857696548498</v>
      </c>
      <c r="O202" s="1" t="s">
        <v>359</v>
      </c>
      <c r="P202" s="1">
        <v>38</v>
      </c>
      <c r="Q202" s="1" t="s">
        <v>38</v>
      </c>
      <c r="R202" s="1" t="s">
        <v>150</v>
      </c>
      <c r="S202" s="1" t="s">
        <v>38</v>
      </c>
      <c r="T202" s="1" t="s">
        <v>150</v>
      </c>
      <c r="U202" s="1" t="s">
        <v>104</v>
      </c>
      <c r="V202" s="1" t="s">
        <v>150</v>
      </c>
      <c r="W202" s="1" t="s">
        <v>38</v>
      </c>
      <c r="X202" s="1" t="s">
        <v>150</v>
      </c>
      <c r="Y202" s="1" t="s">
        <v>41</v>
      </c>
      <c r="Z202" s="1"/>
      <c r="AA202" s="1" t="s">
        <v>38</v>
      </c>
      <c r="AB202" s="1" t="s">
        <v>150</v>
      </c>
      <c r="AC202" s="1" t="s">
        <v>41</v>
      </c>
      <c r="AD202" s="1"/>
      <c r="AE202" s="1" t="s">
        <v>41</v>
      </c>
      <c r="AF202" s="1"/>
      <c r="AG202" s="1" t="s">
        <v>38</v>
      </c>
      <c r="AH202" s="1" t="s">
        <v>41</v>
      </c>
      <c r="AI202" s="1" t="s">
        <v>41</v>
      </c>
      <c r="AJ202" s="1" t="s">
        <v>41</v>
      </c>
      <c r="AK202" s="1" t="s">
        <v>41</v>
      </c>
      <c r="AL202" s="1" t="s">
        <v>41</v>
      </c>
      <c r="AM202" s="1" t="s">
        <v>41</v>
      </c>
      <c r="AN202" s="1" t="s">
        <v>41</v>
      </c>
      <c r="AO202" s="1" t="s">
        <v>41</v>
      </c>
      <c r="AP202" s="50" t="s">
        <v>220</v>
      </c>
      <c r="AQ202" s="50" t="s">
        <v>172</v>
      </c>
      <c r="AR202" s="1">
        <v>6</v>
      </c>
      <c r="AS202" s="1"/>
      <c r="AT202" s="1">
        <v>2</v>
      </c>
      <c r="AU202" s="1"/>
      <c r="AV202" s="1" t="s">
        <v>46</v>
      </c>
    </row>
    <row r="203" spans="1:48" ht="15.75" customHeight="1" x14ac:dyDescent="0.3">
      <c r="A203" s="1">
        <v>217</v>
      </c>
      <c r="B203" s="16">
        <v>45093</v>
      </c>
      <c r="C203" s="1" t="s">
        <v>663</v>
      </c>
      <c r="D203" s="1" t="str">
        <f t="shared" si="9"/>
        <v>MTI-P-055</v>
      </c>
      <c r="E203" s="1" t="s">
        <v>664</v>
      </c>
      <c r="F203" s="1" t="s">
        <v>36</v>
      </c>
      <c r="G203" s="1">
        <v>22</v>
      </c>
      <c r="H203" s="1"/>
      <c r="I203" s="1" t="s">
        <v>68</v>
      </c>
      <c r="J203" s="1"/>
      <c r="K203" s="1">
        <v>56</v>
      </c>
      <c r="L203" s="1">
        <v>163</v>
      </c>
      <c r="M203" s="1">
        <f t="shared" si="8"/>
        <v>1.63</v>
      </c>
      <c r="N203" s="7">
        <f t="shared" si="10"/>
        <v>21.077195227520797</v>
      </c>
      <c r="O203" s="1" t="s">
        <v>359</v>
      </c>
      <c r="P203" s="1">
        <v>38</v>
      </c>
      <c r="Q203" s="1" t="s">
        <v>38</v>
      </c>
      <c r="R203" s="1" t="s">
        <v>50</v>
      </c>
      <c r="S203" s="1" t="s">
        <v>38</v>
      </c>
      <c r="T203" s="1" t="s">
        <v>50</v>
      </c>
      <c r="U203" s="1" t="s">
        <v>38</v>
      </c>
      <c r="V203" s="1" t="s">
        <v>50</v>
      </c>
      <c r="W203" s="1" t="s">
        <v>38</v>
      </c>
      <c r="X203" s="1" t="s">
        <v>146</v>
      </c>
      <c r="Y203" s="1" t="s">
        <v>41</v>
      </c>
      <c r="Z203" s="1"/>
      <c r="AA203" s="1" t="s">
        <v>38</v>
      </c>
      <c r="AB203" s="1" t="s">
        <v>50</v>
      </c>
      <c r="AC203" s="1" t="s">
        <v>41</v>
      </c>
      <c r="AD203" s="1"/>
      <c r="AE203" s="1" t="s">
        <v>41</v>
      </c>
      <c r="AF203" s="1"/>
      <c r="AG203" s="1" t="s">
        <v>38</v>
      </c>
      <c r="AH203" s="1" t="s">
        <v>41</v>
      </c>
      <c r="AI203" s="1" t="s">
        <v>41</v>
      </c>
      <c r="AJ203" s="1" t="s">
        <v>41</v>
      </c>
      <c r="AK203" s="1" t="s">
        <v>41</v>
      </c>
      <c r="AL203" s="1" t="s">
        <v>41</v>
      </c>
      <c r="AM203" s="1" t="s">
        <v>41</v>
      </c>
      <c r="AN203" s="1" t="s">
        <v>41</v>
      </c>
      <c r="AO203" s="1" t="s">
        <v>41</v>
      </c>
      <c r="AP203" s="50" t="s">
        <v>94</v>
      </c>
      <c r="AQ203" s="50" t="s">
        <v>72</v>
      </c>
      <c r="AR203" s="1">
        <v>5</v>
      </c>
      <c r="AS203" s="1"/>
      <c r="AT203" s="1">
        <v>2</v>
      </c>
      <c r="AU203" s="1"/>
      <c r="AV203" s="1" t="s">
        <v>58</v>
      </c>
    </row>
    <row r="204" spans="1:48" ht="15.75" customHeight="1" x14ac:dyDescent="0.3">
      <c r="A204" s="1">
        <v>218</v>
      </c>
      <c r="B204" s="16">
        <v>45098</v>
      </c>
      <c r="C204" s="1" t="s">
        <v>665</v>
      </c>
      <c r="D204" s="1" t="str">
        <f t="shared" si="9"/>
        <v>MTI-P-056</v>
      </c>
      <c r="E204" s="1" t="s">
        <v>641</v>
      </c>
      <c r="F204" s="1" t="s">
        <v>36</v>
      </c>
      <c r="G204" s="1">
        <v>38</v>
      </c>
      <c r="H204" s="1"/>
      <c r="I204" s="1" t="s">
        <v>68</v>
      </c>
      <c r="J204" s="1"/>
      <c r="K204" s="1">
        <v>58</v>
      </c>
      <c r="L204" s="1">
        <v>165</v>
      </c>
      <c r="M204" s="1">
        <f t="shared" si="8"/>
        <v>1.65</v>
      </c>
      <c r="N204" s="7">
        <f t="shared" si="10"/>
        <v>21.30394857667585</v>
      </c>
      <c r="O204" s="1" t="s">
        <v>359</v>
      </c>
      <c r="P204" s="1">
        <v>39</v>
      </c>
      <c r="Q204" s="1" t="s">
        <v>38</v>
      </c>
      <c r="R204" s="1" t="s">
        <v>666</v>
      </c>
      <c r="S204" s="1" t="s">
        <v>38</v>
      </c>
      <c r="T204" s="1" t="s">
        <v>55</v>
      </c>
      <c r="U204" s="1" t="s">
        <v>38</v>
      </c>
      <c r="V204" s="1" t="s">
        <v>55</v>
      </c>
      <c r="W204" s="1" t="s">
        <v>38</v>
      </c>
      <c r="X204" s="1" t="s">
        <v>55</v>
      </c>
      <c r="Y204" s="1" t="s">
        <v>38</v>
      </c>
      <c r="Z204" s="1" t="s">
        <v>55</v>
      </c>
      <c r="AA204" s="1" t="s">
        <v>38</v>
      </c>
      <c r="AB204" s="1" t="s">
        <v>55</v>
      </c>
      <c r="AC204" s="1" t="s">
        <v>41</v>
      </c>
      <c r="AD204" s="1"/>
      <c r="AE204" s="1" t="s">
        <v>41</v>
      </c>
      <c r="AF204" s="1"/>
      <c r="AG204" s="1" t="s">
        <v>38</v>
      </c>
      <c r="AH204" s="1" t="s">
        <v>41</v>
      </c>
      <c r="AI204" s="1" t="s">
        <v>41</v>
      </c>
      <c r="AJ204" s="1" t="s">
        <v>41</v>
      </c>
      <c r="AK204" s="1" t="s">
        <v>41</v>
      </c>
      <c r="AL204" s="1" t="s">
        <v>41</v>
      </c>
      <c r="AM204" s="1" t="s">
        <v>41</v>
      </c>
      <c r="AN204" s="1" t="s">
        <v>41</v>
      </c>
      <c r="AO204" s="1" t="s">
        <v>41</v>
      </c>
      <c r="AP204" s="50" t="s">
        <v>667</v>
      </c>
      <c r="AQ204" s="50" t="s">
        <v>99</v>
      </c>
      <c r="AR204" s="1">
        <v>5</v>
      </c>
      <c r="AS204" s="1"/>
      <c r="AT204" s="1">
        <v>1</v>
      </c>
      <c r="AU204" s="1"/>
      <c r="AV204" s="1" t="s">
        <v>58</v>
      </c>
    </row>
    <row r="205" spans="1:48" ht="15.75" customHeight="1" x14ac:dyDescent="0.3">
      <c r="A205" s="1">
        <v>219</v>
      </c>
      <c r="B205" s="16">
        <v>45299</v>
      </c>
      <c r="C205" s="1" t="s">
        <v>668</v>
      </c>
      <c r="D205" s="1" t="str">
        <f t="shared" si="9"/>
        <v>MTI-PM-059</v>
      </c>
      <c r="E205" s="1" t="s">
        <v>669</v>
      </c>
      <c r="F205" s="1" t="s">
        <v>87</v>
      </c>
      <c r="G205" s="1">
        <v>25</v>
      </c>
      <c r="H205" s="1"/>
      <c r="I205" s="1" t="s">
        <v>68</v>
      </c>
      <c r="J205" s="1"/>
      <c r="K205" s="1">
        <v>58</v>
      </c>
      <c r="L205" s="1">
        <v>146</v>
      </c>
      <c r="M205" s="1">
        <f t="shared" si="8"/>
        <v>1.46</v>
      </c>
      <c r="N205" s="7">
        <f t="shared" si="10"/>
        <v>27.209607806342657</v>
      </c>
      <c r="O205" s="1" t="s">
        <v>359</v>
      </c>
      <c r="P205" s="1">
        <v>38</v>
      </c>
      <c r="Q205" s="1" t="s">
        <v>38</v>
      </c>
      <c r="R205" s="1" t="s">
        <v>52</v>
      </c>
      <c r="S205" s="1" t="s">
        <v>38</v>
      </c>
      <c r="T205" s="1" t="s">
        <v>52</v>
      </c>
      <c r="U205" s="1" t="s">
        <v>41</v>
      </c>
      <c r="V205" s="1"/>
      <c r="W205" s="1" t="s">
        <v>41</v>
      </c>
      <c r="X205" s="1"/>
      <c r="Y205" s="1" t="s">
        <v>41</v>
      </c>
      <c r="Z205" s="1"/>
      <c r="AA205" s="1" t="s">
        <v>41</v>
      </c>
      <c r="AB205" s="1"/>
      <c r="AC205" s="1" t="s">
        <v>41</v>
      </c>
      <c r="AD205" s="1"/>
      <c r="AE205" s="1" t="s">
        <v>41</v>
      </c>
      <c r="AF205" s="1"/>
      <c r="AG205" s="1" t="s">
        <v>38</v>
      </c>
      <c r="AH205" s="1" t="s">
        <v>41</v>
      </c>
      <c r="AI205" s="1" t="s">
        <v>41</v>
      </c>
      <c r="AJ205" s="1" t="s">
        <v>41</v>
      </c>
      <c r="AK205" s="1" t="s">
        <v>41</v>
      </c>
      <c r="AL205" s="1" t="s">
        <v>41</v>
      </c>
      <c r="AM205" s="1" t="s">
        <v>41</v>
      </c>
      <c r="AN205" s="1" t="s">
        <v>41</v>
      </c>
      <c r="AO205" s="1" t="s">
        <v>41</v>
      </c>
      <c r="AP205" s="50" t="s">
        <v>79</v>
      </c>
      <c r="AQ205" s="50" t="s">
        <v>69</v>
      </c>
      <c r="AR205" s="1">
        <v>7</v>
      </c>
      <c r="AS205" s="1"/>
      <c r="AT205" s="1">
        <v>5</v>
      </c>
      <c r="AU205" s="1"/>
      <c r="AV205" s="1" t="s">
        <v>46</v>
      </c>
    </row>
    <row r="206" spans="1:48" ht="15.75" customHeight="1" x14ac:dyDescent="0.3">
      <c r="A206" s="1">
        <v>220</v>
      </c>
      <c r="B206" s="16">
        <v>45306</v>
      </c>
      <c r="C206" s="1" t="s">
        <v>670</v>
      </c>
      <c r="D206" s="1" t="str">
        <f t="shared" si="9"/>
        <v>MTI-PM-060</v>
      </c>
      <c r="E206" s="1" t="s">
        <v>671</v>
      </c>
      <c r="F206" s="1" t="s">
        <v>87</v>
      </c>
      <c r="G206" s="1">
        <v>28</v>
      </c>
      <c r="H206" s="1"/>
      <c r="I206" s="1" t="s">
        <v>68</v>
      </c>
      <c r="J206" s="1"/>
      <c r="K206" s="1">
        <v>85</v>
      </c>
      <c r="L206" s="1">
        <v>180</v>
      </c>
      <c r="M206" s="1">
        <f t="shared" si="8"/>
        <v>1.8</v>
      </c>
      <c r="N206" s="7">
        <f t="shared" si="10"/>
        <v>26.234567901234566</v>
      </c>
      <c r="O206" s="1" t="s">
        <v>359</v>
      </c>
      <c r="P206" s="1">
        <v>39</v>
      </c>
      <c r="Q206" s="1" t="s">
        <v>38</v>
      </c>
      <c r="R206" s="1" t="s">
        <v>114</v>
      </c>
      <c r="S206" s="1" t="s">
        <v>38</v>
      </c>
      <c r="T206" s="1" t="s">
        <v>114</v>
      </c>
      <c r="U206" s="1" t="s">
        <v>38</v>
      </c>
      <c r="V206" s="1" t="s">
        <v>114</v>
      </c>
      <c r="W206" s="1" t="s">
        <v>38</v>
      </c>
      <c r="X206" s="1" t="s">
        <v>53</v>
      </c>
      <c r="Y206" s="1" t="s">
        <v>41</v>
      </c>
      <c r="Z206" s="1"/>
      <c r="AA206" s="1" t="s">
        <v>38</v>
      </c>
      <c r="AB206" s="1" t="s">
        <v>114</v>
      </c>
      <c r="AC206" s="1" t="s">
        <v>41</v>
      </c>
      <c r="AD206" s="1"/>
      <c r="AE206" s="1" t="s">
        <v>447</v>
      </c>
      <c r="AF206" s="1"/>
      <c r="AG206" s="1" t="s">
        <v>38</v>
      </c>
      <c r="AH206" s="1" t="s">
        <v>41</v>
      </c>
      <c r="AI206" s="1" t="s">
        <v>41</v>
      </c>
      <c r="AJ206" s="1" t="s">
        <v>41</v>
      </c>
      <c r="AK206" s="1" t="s">
        <v>38</v>
      </c>
      <c r="AL206" s="1" t="s">
        <v>41</v>
      </c>
      <c r="AM206" s="1" t="s">
        <v>41</v>
      </c>
      <c r="AN206" s="1" t="s">
        <v>41</v>
      </c>
      <c r="AO206" s="1" t="s">
        <v>41</v>
      </c>
      <c r="AP206" s="50" t="s">
        <v>163</v>
      </c>
      <c r="AQ206" s="50" t="s">
        <v>72</v>
      </c>
      <c r="AR206" s="1">
        <v>4</v>
      </c>
      <c r="AS206" s="1"/>
      <c r="AT206" s="1">
        <v>2</v>
      </c>
      <c r="AU206" s="1"/>
      <c r="AV206" s="1" t="s">
        <v>46</v>
      </c>
    </row>
    <row r="207" spans="1:48" ht="15.75" customHeight="1" x14ac:dyDescent="0.3">
      <c r="A207" s="1">
        <v>221</v>
      </c>
      <c r="B207" s="16">
        <v>45306</v>
      </c>
      <c r="C207" s="1" t="s">
        <v>672</v>
      </c>
      <c r="D207" s="1" t="str">
        <f t="shared" si="9"/>
        <v>MTI-PM-061</v>
      </c>
      <c r="E207" s="1" t="s">
        <v>673</v>
      </c>
      <c r="F207" s="1" t="s">
        <v>36</v>
      </c>
      <c r="G207" s="1">
        <v>28</v>
      </c>
      <c r="H207" s="1"/>
      <c r="I207" s="1" t="s">
        <v>68</v>
      </c>
      <c r="J207" s="1"/>
      <c r="K207" s="1">
        <v>65</v>
      </c>
      <c r="L207" s="1">
        <v>172</v>
      </c>
      <c r="M207" s="1">
        <f t="shared" si="8"/>
        <v>1.72</v>
      </c>
      <c r="N207" s="7">
        <f t="shared" si="10"/>
        <v>21.971335857220122</v>
      </c>
      <c r="O207" s="1" t="s">
        <v>359</v>
      </c>
      <c r="P207" s="1">
        <v>38</v>
      </c>
      <c r="Q207" s="1" t="s">
        <v>40</v>
      </c>
      <c r="R207" s="1" t="s">
        <v>674</v>
      </c>
      <c r="S207" s="1" t="s">
        <v>40</v>
      </c>
      <c r="T207" s="1" t="s">
        <v>675</v>
      </c>
      <c r="U207" s="1" t="s">
        <v>40</v>
      </c>
      <c r="V207" s="1" t="s">
        <v>676</v>
      </c>
      <c r="W207" s="1" t="s">
        <v>40</v>
      </c>
      <c r="X207" s="1" t="s">
        <v>42</v>
      </c>
      <c r="Y207" s="1" t="s">
        <v>41</v>
      </c>
      <c r="Z207" s="1"/>
      <c r="AA207" s="1" t="s">
        <v>40</v>
      </c>
      <c r="AB207" s="1" t="s">
        <v>454</v>
      </c>
      <c r="AC207" s="1" t="s">
        <v>196</v>
      </c>
      <c r="AD207" s="1"/>
      <c r="AE207" s="1" t="s">
        <v>677</v>
      </c>
      <c r="AF207" s="1"/>
      <c r="AG207" s="1" t="s">
        <v>40</v>
      </c>
      <c r="AH207" s="1" t="s">
        <v>196</v>
      </c>
      <c r="AI207" s="1" t="s">
        <v>41</v>
      </c>
      <c r="AJ207" s="1" t="s">
        <v>41</v>
      </c>
      <c r="AK207" s="1" t="s">
        <v>41</v>
      </c>
      <c r="AL207" s="1" t="s">
        <v>41</v>
      </c>
      <c r="AM207" s="1" t="s">
        <v>41</v>
      </c>
      <c r="AN207" s="1" t="s">
        <v>41</v>
      </c>
      <c r="AO207" s="1" t="s">
        <v>41</v>
      </c>
      <c r="AP207" s="50" t="s">
        <v>94</v>
      </c>
      <c r="AQ207" s="50" t="s">
        <v>72</v>
      </c>
      <c r="AR207" s="1">
        <v>1</v>
      </c>
      <c r="AS207" s="1"/>
      <c r="AT207" s="1">
        <v>1</v>
      </c>
      <c r="AU207" s="1"/>
      <c r="AV207" s="1" t="s">
        <v>58</v>
      </c>
    </row>
    <row r="208" spans="1:48" ht="15.75" customHeight="1" x14ac:dyDescent="0.3">
      <c r="A208" s="1">
        <v>222</v>
      </c>
      <c r="B208" s="16">
        <v>45315</v>
      </c>
      <c r="C208" s="1" t="s">
        <v>678</v>
      </c>
      <c r="D208" s="1" t="str">
        <f t="shared" si="9"/>
        <v>MTI-PM-062</v>
      </c>
      <c r="E208" s="1" t="s">
        <v>450</v>
      </c>
      <c r="F208" s="1" t="s">
        <v>36</v>
      </c>
      <c r="G208" s="1">
        <v>34</v>
      </c>
      <c r="H208" s="1"/>
      <c r="I208" s="1" t="s">
        <v>68</v>
      </c>
      <c r="J208" s="1"/>
      <c r="K208" s="1">
        <v>53</v>
      </c>
      <c r="L208" s="1">
        <v>155</v>
      </c>
      <c r="M208" s="1">
        <f t="shared" si="8"/>
        <v>1.55</v>
      </c>
      <c r="N208" s="7">
        <f t="shared" si="10"/>
        <v>22.060353798126947</v>
      </c>
      <c r="O208" s="1" t="s">
        <v>359</v>
      </c>
      <c r="P208" s="1">
        <v>39</v>
      </c>
      <c r="Q208" s="1" t="s">
        <v>38</v>
      </c>
      <c r="R208" s="1" t="s">
        <v>43</v>
      </c>
      <c r="S208" s="1" t="s">
        <v>38</v>
      </c>
      <c r="T208" s="1" t="s">
        <v>43</v>
      </c>
      <c r="U208" s="1" t="s">
        <v>38</v>
      </c>
      <c r="V208" s="1" t="s">
        <v>43</v>
      </c>
      <c r="W208" s="1" t="s">
        <v>38</v>
      </c>
      <c r="X208" s="1" t="s">
        <v>43</v>
      </c>
      <c r="Y208" s="1" t="s">
        <v>104</v>
      </c>
      <c r="Z208" s="1" t="s">
        <v>43</v>
      </c>
      <c r="AA208" s="1" t="s">
        <v>38</v>
      </c>
      <c r="AB208" s="1" t="s">
        <v>43</v>
      </c>
      <c r="AC208" s="1" t="s">
        <v>41</v>
      </c>
      <c r="AD208" s="1"/>
      <c r="AE208" s="1" t="s">
        <v>679</v>
      </c>
      <c r="AF208" s="1"/>
      <c r="AG208" s="1" t="s">
        <v>38</v>
      </c>
      <c r="AH208" s="1" t="s">
        <v>41</v>
      </c>
      <c r="AI208" s="1" t="s">
        <v>41</v>
      </c>
      <c r="AJ208" s="1" t="s">
        <v>41</v>
      </c>
      <c r="AK208" s="1" t="s">
        <v>41</v>
      </c>
      <c r="AL208" s="1" t="s">
        <v>41</v>
      </c>
      <c r="AM208" s="1" t="s">
        <v>41</v>
      </c>
      <c r="AN208" s="1" t="s">
        <v>41</v>
      </c>
      <c r="AO208" s="1" t="s">
        <v>41</v>
      </c>
      <c r="AP208" s="50" t="s">
        <v>163</v>
      </c>
      <c r="AQ208" s="50" t="s">
        <v>45</v>
      </c>
      <c r="AR208" s="1">
        <v>1</v>
      </c>
      <c r="AS208" s="1"/>
      <c r="AT208" s="1">
        <v>1</v>
      </c>
      <c r="AU208" s="1"/>
      <c r="AV208" s="1" t="s">
        <v>58</v>
      </c>
    </row>
    <row r="209" spans="1:48" ht="15.75" customHeight="1" x14ac:dyDescent="0.3">
      <c r="A209" s="1">
        <v>223</v>
      </c>
      <c r="B209" s="16">
        <v>45315</v>
      </c>
      <c r="C209" s="1" t="s">
        <v>680</v>
      </c>
      <c r="D209" s="1" t="str">
        <f t="shared" si="9"/>
        <v>MTI-P-063</v>
      </c>
      <c r="E209" s="1" t="s">
        <v>681</v>
      </c>
      <c r="F209" s="1" t="s">
        <v>87</v>
      </c>
      <c r="G209" s="1">
        <v>19</v>
      </c>
      <c r="H209" s="1"/>
      <c r="I209" s="1" t="s">
        <v>68</v>
      </c>
      <c r="J209" s="1"/>
      <c r="K209" s="1">
        <v>48</v>
      </c>
      <c r="L209" s="1">
        <v>108</v>
      </c>
      <c r="M209" s="1">
        <f t="shared" si="8"/>
        <v>1.08</v>
      </c>
      <c r="N209" s="7">
        <f t="shared" si="10"/>
        <v>41.152263374485592</v>
      </c>
      <c r="O209" s="1" t="s">
        <v>359</v>
      </c>
      <c r="P209" s="1">
        <v>37</v>
      </c>
      <c r="Q209" s="1" t="s">
        <v>38</v>
      </c>
      <c r="R209" s="1" t="s">
        <v>65</v>
      </c>
      <c r="S209" s="1" t="s">
        <v>38</v>
      </c>
      <c r="T209" s="1" t="s">
        <v>43</v>
      </c>
      <c r="U209" s="1" t="s">
        <v>38</v>
      </c>
      <c r="V209" s="1" t="s">
        <v>65</v>
      </c>
      <c r="W209" s="1" t="s">
        <v>38</v>
      </c>
      <c r="X209" s="1" t="s">
        <v>53</v>
      </c>
      <c r="Y209" s="1" t="s">
        <v>104</v>
      </c>
      <c r="Z209" s="1" t="s">
        <v>52</v>
      </c>
      <c r="AA209" s="1" t="s">
        <v>41</v>
      </c>
      <c r="AB209" s="1"/>
      <c r="AC209" s="1" t="s">
        <v>41</v>
      </c>
      <c r="AD209" s="1"/>
      <c r="AE209" s="1" t="s">
        <v>41</v>
      </c>
      <c r="AF209" s="1"/>
      <c r="AG209" s="1" t="s">
        <v>38</v>
      </c>
      <c r="AH209" s="1" t="s">
        <v>41</v>
      </c>
      <c r="AI209" s="1" t="s">
        <v>41</v>
      </c>
      <c r="AJ209" s="1" t="s">
        <v>41</v>
      </c>
      <c r="AK209" s="1" t="s">
        <v>41</v>
      </c>
      <c r="AL209" s="1" t="s">
        <v>41</v>
      </c>
      <c r="AM209" s="1" t="s">
        <v>41</v>
      </c>
      <c r="AN209" s="1" t="s">
        <v>41</v>
      </c>
      <c r="AO209" s="1" t="s">
        <v>41</v>
      </c>
      <c r="AP209" s="50" t="s">
        <v>79</v>
      </c>
      <c r="AQ209" s="50" t="s">
        <v>69</v>
      </c>
      <c r="AR209" s="1">
        <v>1</v>
      </c>
      <c r="AS209" s="1"/>
      <c r="AT209" s="1">
        <v>1</v>
      </c>
      <c r="AU209" s="1"/>
      <c r="AV209" s="1" t="s">
        <v>58</v>
      </c>
    </row>
    <row r="210" spans="1:48" ht="15.75" customHeight="1" x14ac:dyDescent="0.3">
      <c r="A210" s="1">
        <v>224</v>
      </c>
      <c r="B210" s="16">
        <v>45329</v>
      </c>
      <c r="C210" s="1" t="s">
        <v>682</v>
      </c>
      <c r="D210" s="1" t="str">
        <f t="shared" si="9"/>
        <v>MTI-PM-064</v>
      </c>
      <c r="E210" s="1" t="s">
        <v>420</v>
      </c>
      <c r="F210" s="1" t="s">
        <v>36</v>
      </c>
      <c r="G210" s="1">
        <v>27</v>
      </c>
      <c r="H210" s="1"/>
      <c r="I210" s="1" t="s">
        <v>68</v>
      </c>
      <c r="J210" s="1"/>
      <c r="K210" s="1">
        <v>48</v>
      </c>
      <c r="L210" s="1">
        <v>149</v>
      </c>
      <c r="M210" s="1">
        <f t="shared" si="8"/>
        <v>1.49</v>
      </c>
      <c r="N210" s="7">
        <f t="shared" si="10"/>
        <v>21.620647718571234</v>
      </c>
      <c r="O210" s="1" t="s">
        <v>359</v>
      </c>
      <c r="P210" s="1">
        <v>38</v>
      </c>
      <c r="Q210" s="1" t="s">
        <v>38</v>
      </c>
      <c r="R210" s="1" t="s">
        <v>354</v>
      </c>
      <c r="S210" s="1" t="s">
        <v>38</v>
      </c>
      <c r="T210" s="1" t="s">
        <v>354</v>
      </c>
      <c r="U210" s="1" t="s">
        <v>38</v>
      </c>
      <c r="V210" s="1" t="s">
        <v>354</v>
      </c>
      <c r="W210" s="1" t="s">
        <v>104</v>
      </c>
      <c r="X210" s="1" t="s">
        <v>354</v>
      </c>
      <c r="Y210" s="1" t="s">
        <v>104</v>
      </c>
      <c r="Z210" s="1" t="s">
        <v>354</v>
      </c>
      <c r="AA210" s="1" t="s">
        <v>38</v>
      </c>
      <c r="AB210" s="1" t="s">
        <v>354</v>
      </c>
      <c r="AC210" s="1" t="s">
        <v>38</v>
      </c>
      <c r="AD210" s="1" t="s">
        <v>354</v>
      </c>
      <c r="AE210" s="1" t="s">
        <v>683</v>
      </c>
      <c r="AF210" s="1" t="s">
        <v>50</v>
      </c>
      <c r="AG210" s="1" t="s">
        <v>38</v>
      </c>
      <c r="AH210" s="1" t="s">
        <v>41</v>
      </c>
      <c r="AI210" s="1" t="s">
        <v>41</v>
      </c>
      <c r="AJ210" s="1" t="s">
        <v>38</v>
      </c>
      <c r="AK210" s="1" t="s">
        <v>38</v>
      </c>
      <c r="AL210" s="1" t="s">
        <v>41</v>
      </c>
      <c r="AM210" s="1" t="s">
        <v>41</v>
      </c>
      <c r="AN210" s="1" t="s">
        <v>41</v>
      </c>
      <c r="AO210" s="1" t="s">
        <v>41</v>
      </c>
      <c r="AP210" s="50" t="s">
        <v>71</v>
      </c>
      <c r="AQ210" s="50" t="s">
        <v>69</v>
      </c>
      <c r="AR210" s="1">
        <v>5</v>
      </c>
      <c r="AS210" s="1"/>
      <c r="AT210" s="1">
        <v>2</v>
      </c>
      <c r="AU210" s="1"/>
      <c r="AV210" s="1" t="s">
        <v>58</v>
      </c>
    </row>
    <row r="211" spans="1:48" ht="15.75" customHeight="1" x14ac:dyDescent="0.3">
      <c r="A211" s="1">
        <v>226</v>
      </c>
      <c r="B211" s="16">
        <v>45335</v>
      </c>
      <c r="C211" s="1" t="s">
        <v>684</v>
      </c>
      <c r="D211" s="1" t="str">
        <f t="shared" si="9"/>
        <v>MTI-PM-065</v>
      </c>
      <c r="E211" s="1" t="s">
        <v>685</v>
      </c>
      <c r="F211" s="1" t="s">
        <v>36</v>
      </c>
      <c r="G211" s="1">
        <v>20</v>
      </c>
      <c r="H211" s="1"/>
      <c r="I211" s="1" t="s">
        <v>68</v>
      </c>
      <c r="J211" s="1"/>
      <c r="K211" s="1">
        <v>45</v>
      </c>
      <c r="L211" s="1">
        <v>171</v>
      </c>
      <c r="M211" s="1">
        <f t="shared" si="8"/>
        <v>1.71</v>
      </c>
      <c r="N211" s="7">
        <f t="shared" si="10"/>
        <v>15.389350569405973</v>
      </c>
      <c r="O211" s="1" t="s">
        <v>359</v>
      </c>
      <c r="P211" s="1">
        <v>36</v>
      </c>
      <c r="Q211" s="1" t="s">
        <v>38</v>
      </c>
      <c r="R211" s="1" t="s">
        <v>64</v>
      </c>
      <c r="S211" s="1" t="s">
        <v>41</v>
      </c>
      <c r="T211" s="1"/>
      <c r="U211" s="1" t="s">
        <v>41</v>
      </c>
      <c r="V211" s="1"/>
      <c r="W211" s="1" t="s">
        <v>38</v>
      </c>
      <c r="X211" s="1" t="s">
        <v>64</v>
      </c>
      <c r="Y211" s="1" t="s">
        <v>41</v>
      </c>
      <c r="Z211" s="1"/>
      <c r="AA211" s="1" t="s">
        <v>38</v>
      </c>
      <c r="AB211" s="1" t="s">
        <v>64</v>
      </c>
      <c r="AC211" s="1" t="s">
        <v>41</v>
      </c>
      <c r="AD211" s="1"/>
      <c r="AE211" s="1" t="s">
        <v>41</v>
      </c>
      <c r="AF211" s="1"/>
      <c r="AG211" s="1" t="s">
        <v>38</v>
      </c>
      <c r="AH211" s="1" t="s">
        <v>41</v>
      </c>
      <c r="AI211" s="1" t="s">
        <v>41</v>
      </c>
      <c r="AJ211" s="1" t="s">
        <v>41</v>
      </c>
      <c r="AK211" s="1" t="s">
        <v>41</v>
      </c>
      <c r="AL211" s="1" t="s">
        <v>41</v>
      </c>
      <c r="AM211" s="1" t="s">
        <v>41</v>
      </c>
      <c r="AN211" s="1" t="s">
        <v>41</v>
      </c>
      <c r="AO211" s="1" t="s">
        <v>41</v>
      </c>
      <c r="AP211" s="50" t="s">
        <v>686</v>
      </c>
      <c r="AQ211" s="50" t="s">
        <v>687</v>
      </c>
      <c r="AR211" s="1">
        <v>2</v>
      </c>
      <c r="AS211" s="1"/>
      <c r="AT211" s="1">
        <v>1</v>
      </c>
      <c r="AU211" s="1"/>
      <c r="AV211" s="1" t="s">
        <v>58</v>
      </c>
    </row>
    <row r="212" spans="1:48" ht="15.75" customHeight="1" x14ac:dyDescent="0.3">
      <c r="A212" s="1">
        <v>227</v>
      </c>
      <c r="B212" s="19">
        <v>45362</v>
      </c>
      <c r="C212" s="1" t="s">
        <v>688</v>
      </c>
      <c r="D212" s="1" t="str">
        <f t="shared" si="9"/>
        <v>MTI-PM-066</v>
      </c>
      <c r="E212" s="1" t="s">
        <v>689</v>
      </c>
      <c r="F212" s="1" t="s">
        <v>87</v>
      </c>
      <c r="G212" s="1">
        <v>30</v>
      </c>
      <c r="H212" s="1"/>
      <c r="I212" s="1" t="s">
        <v>68</v>
      </c>
      <c r="J212" s="1"/>
      <c r="K212" s="1">
        <v>55</v>
      </c>
      <c r="L212" s="1">
        <v>162</v>
      </c>
      <c r="M212" s="1">
        <f t="shared" si="8"/>
        <v>1.62</v>
      </c>
      <c r="N212" s="7">
        <f t="shared" si="10"/>
        <v>20.957171162932475</v>
      </c>
      <c r="O212" s="1" t="s">
        <v>359</v>
      </c>
      <c r="P212" s="1">
        <v>37</v>
      </c>
      <c r="Q212" s="1" t="s">
        <v>38</v>
      </c>
      <c r="R212" s="1" t="s">
        <v>65</v>
      </c>
      <c r="S212" s="1" t="s">
        <v>38</v>
      </c>
      <c r="T212" s="1" t="s">
        <v>65</v>
      </c>
      <c r="U212" s="1" t="s">
        <v>38</v>
      </c>
      <c r="V212" s="1" t="s">
        <v>53</v>
      </c>
      <c r="W212" s="1" t="s">
        <v>38</v>
      </c>
      <c r="X212" s="1" t="s">
        <v>65</v>
      </c>
      <c r="Y212" s="1" t="s">
        <v>41</v>
      </c>
      <c r="Z212" s="1"/>
      <c r="AA212" s="1" t="s">
        <v>38</v>
      </c>
      <c r="AB212" s="1" t="s">
        <v>65</v>
      </c>
      <c r="AC212" s="1" t="s">
        <v>41</v>
      </c>
      <c r="AD212" s="1"/>
      <c r="AE212" s="1" t="s">
        <v>41</v>
      </c>
      <c r="AF212" s="1"/>
      <c r="AG212" s="1" t="s">
        <v>38</v>
      </c>
      <c r="AH212" s="1" t="s">
        <v>41</v>
      </c>
      <c r="AI212" s="1" t="s">
        <v>41</v>
      </c>
      <c r="AJ212" s="1" t="s">
        <v>41</v>
      </c>
      <c r="AK212" s="1" t="s">
        <v>41</v>
      </c>
      <c r="AL212" s="1" t="s">
        <v>41</v>
      </c>
      <c r="AM212" s="1" t="s">
        <v>41</v>
      </c>
      <c r="AN212" s="1" t="s">
        <v>41</v>
      </c>
      <c r="AO212" s="1" t="s">
        <v>41</v>
      </c>
      <c r="AP212" s="50" t="s">
        <v>79</v>
      </c>
      <c r="AQ212" s="50" t="s">
        <v>99</v>
      </c>
      <c r="AR212" s="1">
        <v>4</v>
      </c>
      <c r="AS212" s="1"/>
      <c r="AT212" s="1">
        <v>2</v>
      </c>
      <c r="AU212" s="1"/>
      <c r="AV212" s="1" t="s">
        <v>58</v>
      </c>
    </row>
    <row r="213" spans="1:48" ht="15.75" customHeight="1" x14ac:dyDescent="0.3">
      <c r="A213" s="1">
        <v>228</v>
      </c>
      <c r="B213" s="19">
        <v>45363</v>
      </c>
      <c r="C213" s="1" t="s">
        <v>690</v>
      </c>
      <c r="D213" s="1" t="str">
        <f t="shared" si="9"/>
        <v>MTI-PM-067</v>
      </c>
      <c r="E213" s="1" t="s">
        <v>691</v>
      </c>
      <c r="F213" s="1" t="s">
        <v>87</v>
      </c>
      <c r="G213" s="1">
        <v>32</v>
      </c>
      <c r="H213" s="1"/>
      <c r="I213" s="1" t="s">
        <v>68</v>
      </c>
      <c r="J213" s="1"/>
      <c r="K213" s="1">
        <v>62</v>
      </c>
      <c r="L213" s="1">
        <v>168</v>
      </c>
      <c r="M213" s="1">
        <f t="shared" si="8"/>
        <v>1.68</v>
      </c>
      <c r="N213" s="7">
        <f t="shared" si="10"/>
        <v>21.9671201814059</v>
      </c>
      <c r="O213" s="1" t="s">
        <v>359</v>
      </c>
      <c r="P213" s="1">
        <v>37</v>
      </c>
      <c r="Q213" s="1" t="s">
        <v>38</v>
      </c>
      <c r="R213" s="1" t="s">
        <v>50</v>
      </c>
      <c r="S213" s="1" t="s">
        <v>38</v>
      </c>
      <c r="T213" s="1" t="s">
        <v>50</v>
      </c>
      <c r="U213" s="1" t="s">
        <v>38</v>
      </c>
      <c r="V213" s="1" t="s">
        <v>50</v>
      </c>
      <c r="W213" s="1" t="s">
        <v>38</v>
      </c>
      <c r="X213" s="1" t="s">
        <v>70</v>
      </c>
      <c r="Y213" s="1" t="s">
        <v>41</v>
      </c>
      <c r="Z213" s="1"/>
      <c r="AA213" s="1" t="s">
        <v>38</v>
      </c>
      <c r="AB213" s="1" t="s">
        <v>50</v>
      </c>
      <c r="AC213" s="1" t="s">
        <v>38</v>
      </c>
      <c r="AD213" s="1" t="s">
        <v>53</v>
      </c>
      <c r="AE213" s="1" t="s">
        <v>41</v>
      </c>
      <c r="AF213" s="1"/>
      <c r="AG213" s="1" t="s">
        <v>38</v>
      </c>
      <c r="AH213" s="1" t="s">
        <v>41</v>
      </c>
      <c r="AI213" s="1" t="s">
        <v>41</v>
      </c>
      <c r="AJ213" s="1" t="s">
        <v>41</v>
      </c>
      <c r="AK213" s="1" t="s">
        <v>41</v>
      </c>
      <c r="AL213" s="1" t="s">
        <v>41</v>
      </c>
      <c r="AM213" s="1" t="s">
        <v>41</v>
      </c>
      <c r="AN213" s="1" t="s">
        <v>41</v>
      </c>
      <c r="AO213" s="1" t="s">
        <v>41</v>
      </c>
      <c r="AP213" s="50" t="s">
        <v>118</v>
      </c>
      <c r="AQ213" s="50" t="s">
        <v>72</v>
      </c>
      <c r="AR213" s="1">
        <v>8</v>
      </c>
      <c r="AS213" s="1"/>
      <c r="AT213" s="1">
        <v>2</v>
      </c>
      <c r="AU213" s="1"/>
      <c r="AV213" s="1" t="s">
        <v>46</v>
      </c>
    </row>
    <row r="214" spans="1:48" ht="15.75" customHeight="1" x14ac:dyDescent="0.3">
      <c r="A214" s="1">
        <v>229</v>
      </c>
      <c r="B214" s="31">
        <v>45364</v>
      </c>
      <c r="C214" s="1" t="s">
        <v>692</v>
      </c>
      <c r="D214" s="1" t="str">
        <f t="shared" si="9"/>
        <v>MTI-PM-068</v>
      </c>
      <c r="E214" s="1" t="s">
        <v>584</v>
      </c>
      <c r="F214" s="1" t="s">
        <v>36</v>
      </c>
      <c r="G214" s="1">
        <v>19</v>
      </c>
      <c r="H214" s="1"/>
      <c r="I214" s="1" t="s">
        <v>68</v>
      </c>
      <c r="J214" s="1"/>
      <c r="K214" s="1">
        <v>56</v>
      </c>
      <c r="L214" s="1">
        <v>185</v>
      </c>
      <c r="M214" s="1">
        <f t="shared" si="8"/>
        <v>1.85</v>
      </c>
      <c r="N214" s="7">
        <f t="shared" si="10"/>
        <v>16.362308254200144</v>
      </c>
      <c r="O214" s="1" t="s">
        <v>359</v>
      </c>
      <c r="P214" s="1">
        <v>37</v>
      </c>
      <c r="Q214" s="1" t="s">
        <v>38</v>
      </c>
      <c r="R214" s="1" t="s">
        <v>693</v>
      </c>
      <c r="S214" s="1" t="s">
        <v>38</v>
      </c>
      <c r="T214" s="1" t="s">
        <v>693</v>
      </c>
      <c r="U214" s="1" t="s">
        <v>38</v>
      </c>
      <c r="V214" s="1" t="s">
        <v>693</v>
      </c>
      <c r="W214" s="1" t="s">
        <v>38</v>
      </c>
      <c r="X214" s="1" t="s">
        <v>693</v>
      </c>
      <c r="Y214" s="1" t="s">
        <v>104</v>
      </c>
      <c r="Z214" s="1" t="s">
        <v>693</v>
      </c>
      <c r="AA214" s="1" t="s">
        <v>38</v>
      </c>
      <c r="AB214" s="1" t="s">
        <v>378</v>
      </c>
      <c r="AC214" s="1" t="s">
        <v>38</v>
      </c>
      <c r="AD214" s="1" t="s">
        <v>43</v>
      </c>
      <c r="AE214" s="1" t="s">
        <v>41</v>
      </c>
      <c r="AF214" s="1"/>
      <c r="AG214" s="1" t="s">
        <v>38</v>
      </c>
      <c r="AH214" s="1" t="s">
        <v>41</v>
      </c>
      <c r="AI214" s="1" t="s">
        <v>41</v>
      </c>
      <c r="AJ214" s="1" t="s">
        <v>41</v>
      </c>
      <c r="AK214" s="1" t="s">
        <v>41</v>
      </c>
      <c r="AL214" s="1" t="s">
        <v>41</v>
      </c>
      <c r="AM214" s="1" t="s">
        <v>41</v>
      </c>
      <c r="AN214" s="1" t="s">
        <v>41</v>
      </c>
      <c r="AO214" s="1" t="s">
        <v>41</v>
      </c>
      <c r="AP214" s="50" t="s">
        <v>79</v>
      </c>
      <c r="AQ214" s="50" t="s">
        <v>72</v>
      </c>
      <c r="AR214" s="1">
        <v>2</v>
      </c>
      <c r="AS214" s="1"/>
      <c r="AT214" s="1">
        <v>2</v>
      </c>
      <c r="AU214" s="1"/>
      <c r="AV214" s="1" t="s">
        <v>58</v>
      </c>
    </row>
    <row r="215" spans="1:48" ht="15.75" customHeight="1" x14ac:dyDescent="0.3">
      <c r="A215" s="1">
        <v>230</v>
      </c>
      <c r="B215" s="19">
        <v>45418</v>
      </c>
      <c r="C215" s="1" t="s">
        <v>694</v>
      </c>
      <c r="D215" s="1" t="str">
        <f t="shared" si="9"/>
        <v>MTI-PM-069</v>
      </c>
      <c r="E215" s="1" t="s">
        <v>695</v>
      </c>
      <c r="F215" s="1" t="s">
        <v>36</v>
      </c>
      <c r="G215" s="1">
        <v>38</v>
      </c>
      <c r="H215" s="1"/>
      <c r="I215" s="1" t="s">
        <v>37</v>
      </c>
      <c r="J215" s="1" t="s">
        <v>696</v>
      </c>
      <c r="K215" s="1">
        <v>52</v>
      </c>
      <c r="L215" s="1">
        <v>158</v>
      </c>
      <c r="M215" s="1">
        <f t="shared" si="8"/>
        <v>1.58</v>
      </c>
      <c r="N215" s="7">
        <f t="shared" si="10"/>
        <v>20.82999519307803</v>
      </c>
      <c r="O215" s="1" t="s">
        <v>359</v>
      </c>
      <c r="P215" s="1">
        <v>37</v>
      </c>
      <c r="Q215" s="1" t="s">
        <v>38</v>
      </c>
      <c r="R215" s="1" t="s">
        <v>378</v>
      </c>
      <c r="S215" s="1" t="s">
        <v>41</v>
      </c>
      <c r="T215" s="1"/>
      <c r="U215" s="1" t="s">
        <v>41</v>
      </c>
      <c r="V215" s="1"/>
      <c r="W215" s="1" t="s">
        <v>41</v>
      </c>
      <c r="X215" s="1"/>
      <c r="Y215" s="1" t="s">
        <v>41</v>
      </c>
      <c r="Z215" s="1"/>
      <c r="AA215" s="1" t="s">
        <v>38</v>
      </c>
      <c r="AB215" s="1" t="s">
        <v>146</v>
      </c>
      <c r="AC215" s="1" t="s">
        <v>41</v>
      </c>
      <c r="AD215" s="1"/>
      <c r="AE215" s="1" t="s">
        <v>41</v>
      </c>
      <c r="AF215" s="1"/>
      <c r="AG215" s="1" t="s">
        <v>41</v>
      </c>
      <c r="AH215" s="1" t="s">
        <v>41</v>
      </c>
      <c r="AI215" s="1" t="s">
        <v>41</v>
      </c>
      <c r="AJ215" s="1" t="s">
        <v>38</v>
      </c>
      <c r="AK215" s="1" t="s">
        <v>38</v>
      </c>
      <c r="AL215" s="1" t="s">
        <v>41</v>
      </c>
      <c r="AM215" s="1" t="s">
        <v>41</v>
      </c>
      <c r="AN215" s="1" t="s">
        <v>41</v>
      </c>
      <c r="AO215" s="1" t="s">
        <v>41</v>
      </c>
      <c r="AP215" s="50" t="s">
        <v>498</v>
      </c>
      <c r="AQ215" s="50" t="s">
        <v>72</v>
      </c>
      <c r="AR215" s="1">
        <v>1</v>
      </c>
      <c r="AS215" s="1"/>
      <c r="AT215" s="1">
        <v>1</v>
      </c>
      <c r="AU215" s="1"/>
      <c r="AV215" s="1" t="s">
        <v>58</v>
      </c>
    </row>
    <row r="216" spans="1:48" ht="15.75" customHeight="1" x14ac:dyDescent="0.3">
      <c r="A216" s="1">
        <v>231</v>
      </c>
      <c r="B216" s="16">
        <v>45454</v>
      </c>
      <c r="C216" s="1" t="s">
        <v>697</v>
      </c>
      <c r="D216" s="1" t="str">
        <f t="shared" si="9"/>
        <v>MTI-PM-070</v>
      </c>
      <c r="E216" s="1" t="s">
        <v>698</v>
      </c>
      <c r="F216" s="1" t="s">
        <v>36</v>
      </c>
      <c r="G216" s="1">
        <v>47</v>
      </c>
      <c r="H216" s="1"/>
      <c r="I216" s="1" t="s">
        <v>68</v>
      </c>
      <c r="J216" s="1"/>
      <c r="K216" s="1">
        <v>58</v>
      </c>
      <c r="L216" s="1">
        <v>141</v>
      </c>
      <c r="M216" s="1">
        <f t="shared" si="8"/>
        <v>1.41</v>
      </c>
      <c r="N216" s="7">
        <f t="shared" si="10"/>
        <v>29.173582817765709</v>
      </c>
      <c r="O216" s="1" t="s">
        <v>359</v>
      </c>
      <c r="P216" s="1">
        <v>38</v>
      </c>
      <c r="Q216" s="1" t="s">
        <v>38</v>
      </c>
      <c r="R216" s="1" t="s">
        <v>43</v>
      </c>
      <c r="S216" s="1" t="s">
        <v>38</v>
      </c>
      <c r="T216" s="1" t="s">
        <v>43</v>
      </c>
      <c r="U216" s="1" t="s">
        <v>38</v>
      </c>
      <c r="V216" s="1" t="s">
        <v>43</v>
      </c>
      <c r="W216" s="1" t="s">
        <v>38</v>
      </c>
      <c r="X216" s="1" t="s">
        <v>43</v>
      </c>
      <c r="Y216" s="1" t="s">
        <v>41</v>
      </c>
      <c r="Z216" s="1"/>
      <c r="AA216" s="1" t="s">
        <v>41</v>
      </c>
      <c r="AB216" s="1"/>
      <c r="AC216" s="1" t="s">
        <v>41</v>
      </c>
      <c r="AD216" s="1"/>
      <c r="AE216" s="1" t="s">
        <v>41</v>
      </c>
      <c r="AF216" s="1"/>
      <c r="AG216" s="1" t="s">
        <v>38</v>
      </c>
      <c r="AH216" s="1" t="s">
        <v>41</v>
      </c>
      <c r="AI216" s="1" t="s">
        <v>41</v>
      </c>
      <c r="AJ216" s="1" t="s">
        <v>41</v>
      </c>
      <c r="AK216" s="1" t="s">
        <v>38</v>
      </c>
      <c r="AL216" s="1" t="s">
        <v>41</v>
      </c>
      <c r="AM216" s="1" t="s">
        <v>41</v>
      </c>
      <c r="AN216" s="1" t="s">
        <v>41</v>
      </c>
      <c r="AO216" s="1" t="s">
        <v>41</v>
      </c>
      <c r="AP216" s="50" t="s">
        <v>174</v>
      </c>
      <c r="AQ216" s="50" t="s">
        <v>45</v>
      </c>
      <c r="AR216" s="1">
        <v>2</v>
      </c>
      <c r="AS216" s="1"/>
      <c r="AT216" s="1">
        <v>3</v>
      </c>
      <c r="AU216" s="1"/>
      <c r="AV216" s="1" t="s">
        <v>58</v>
      </c>
    </row>
    <row r="217" spans="1:48" ht="15.75" customHeight="1" x14ac:dyDescent="0.3">
      <c r="A217" s="1">
        <v>232</v>
      </c>
      <c r="B217" s="16">
        <v>45260</v>
      </c>
      <c r="C217" s="1" t="s">
        <v>699</v>
      </c>
      <c r="D217" s="1" t="str">
        <f t="shared" si="9"/>
        <v>MTI-PM-058</v>
      </c>
      <c r="E217" s="1" t="s">
        <v>700</v>
      </c>
      <c r="F217" s="1" t="s">
        <v>87</v>
      </c>
      <c r="G217" s="1">
        <v>27</v>
      </c>
      <c r="H217" s="1"/>
      <c r="I217" s="1" t="s">
        <v>68</v>
      </c>
      <c r="J217" s="1"/>
      <c r="K217" s="1">
        <v>50</v>
      </c>
      <c r="L217" s="1">
        <v>150</v>
      </c>
      <c r="M217" s="1">
        <f t="shared" si="8"/>
        <v>1.5</v>
      </c>
      <c r="N217" s="7">
        <f t="shared" si="10"/>
        <v>22.222222222222221</v>
      </c>
      <c r="O217" s="1" t="s">
        <v>359</v>
      </c>
      <c r="P217" s="1">
        <v>38</v>
      </c>
      <c r="Q217" s="1" t="s">
        <v>38</v>
      </c>
      <c r="R217" s="1" t="s">
        <v>132</v>
      </c>
      <c r="S217" s="1" t="s">
        <v>38</v>
      </c>
      <c r="T217" s="1" t="s">
        <v>132</v>
      </c>
      <c r="U217" s="1" t="s">
        <v>38</v>
      </c>
      <c r="V217" s="1" t="s">
        <v>43</v>
      </c>
      <c r="W217" s="1" t="s">
        <v>38</v>
      </c>
      <c r="X217" s="1" t="s">
        <v>132</v>
      </c>
      <c r="Y217" s="1" t="s">
        <v>104</v>
      </c>
      <c r="Z217" s="1" t="s">
        <v>132</v>
      </c>
      <c r="AA217" s="1" t="s">
        <v>38</v>
      </c>
      <c r="AB217" s="1" t="s">
        <v>132</v>
      </c>
      <c r="AC217" s="1" t="s">
        <v>41</v>
      </c>
      <c r="AD217" s="1"/>
      <c r="AE217" s="1" t="s">
        <v>41</v>
      </c>
      <c r="AF217" s="1"/>
      <c r="AG217" s="1" t="s">
        <v>38</v>
      </c>
      <c r="AH217" s="1" t="s">
        <v>41</v>
      </c>
      <c r="AI217" s="1" t="s">
        <v>41</v>
      </c>
      <c r="AJ217" s="1" t="s">
        <v>41</v>
      </c>
      <c r="AK217" s="1" t="s">
        <v>41</v>
      </c>
      <c r="AL217" s="1" t="s">
        <v>41</v>
      </c>
      <c r="AM217" s="1" t="s">
        <v>41</v>
      </c>
      <c r="AN217" s="1" t="s">
        <v>41</v>
      </c>
      <c r="AO217" s="1" t="s">
        <v>41</v>
      </c>
      <c r="AP217" s="50" t="s">
        <v>406</v>
      </c>
      <c r="AQ217" s="50" t="s">
        <v>72</v>
      </c>
      <c r="AR217" s="1">
        <v>2</v>
      </c>
      <c r="AS217" s="1"/>
      <c r="AT217" s="1">
        <v>1</v>
      </c>
      <c r="AU217" s="1"/>
      <c r="AV217" s="1" t="s">
        <v>58</v>
      </c>
    </row>
    <row r="218" spans="1:48" ht="15.75" customHeight="1" x14ac:dyDescent="0.3">
      <c r="A218" s="1">
        <v>233</v>
      </c>
      <c r="B218" s="16">
        <v>45260</v>
      </c>
      <c r="C218" s="1" t="s">
        <v>701</v>
      </c>
      <c r="D218" s="1" t="str">
        <f t="shared" si="9"/>
        <v>MTI-PM-057</v>
      </c>
      <c r="E218" s="1" t="s">
        <v>702</v>
      </c>
      <c r="F218" s="1" t="s">
        <v>87</v>
      </c>
      <c r="G218" s="1">
        <v>39</v>
      </c>
      <c r="H218" s="1"/>
      <c r="I218" s="1" t="s">
        <v>68</v>
      </c>
      <c r="J218" s="1"/>
      <c r="K218" s="1">
        <v>45</v>
      </c>
      <c r="L218" s="1">
        <v>157</v>
      </c>
      <c r="M218" s="1">
        <f t="shared" si="8"/>
        <v>1.57</v>
      </c>
      <c r="N218" s="7">
        <f t="shared" si="10"/>
        <v>18.25631871475516</v>
      </c>
      <c r="O218" s="1" t="s">
        <v>359</v>
      </c>
      <c r="P218" s="1">
        <v>37</v>
      </c>
      <c r="Q218" s="1" t="s">
        <v>38</v>
      </c>
      <c r="R218" s="1" t="s">
        <v>65</v>
      </c>
      <c r="S218" s="1" t="s">
        <v>38</v>
      </c>
      <c r="T218" s="1" t="s">
        <v>51</v>
      </c>
      <c r="U218" s="1" t="s">
        <v>38</v>
      </c>
      <c r="V218" s="1" t="s">
        <v>65</v>
      </c>
      <c r="W218" s="1" t="s">
        <v>38</v>
      </c>
      <c r="X218" s="1" t="s">
        <v>65</v>
      </c>
      <c r="Y218" s="1" t="s">
        <v>41</v>
      </c>
      <c r="Z218" s="1"/>
      <c r="AA218" s="1" t="s">
        <v>38</v>
      </c>
      <c r="AB218" s="1" t="s">
        <v>53</v>
      </c>
      <c r="AC218" s="1" t="s">
        <v>41</v>
      </c>
      <c r="AD218" s="1"/>
      <c r="AE218" s="1" t="s">
        <v>41</v>
      </c>
      <c r="AF218" s="1"/>
      <c r="AG218" s="1" t="s">
        <v>38</v>
      </c>
      <c r="AH218" s="1" t="s">
        <v>41</v>
      </c>
      <c r="AI218" s="1" t="s">
        <v>41</v>
      </c>
      <c r="AJ218" s="1" t="s">
        <v>41</v>
      </c>
      <c r="AK218" s="1" t="s">
        <v>41</v>
      </c>
      <c r="AL218" s="1" t="s">
        <v>41</v>
      </c>
      <c r="AM218" s="1" t="s">
        <v>41</v>
      </c>
      <c r="AN218" s="1" t="s">
        <v>41</v>
      </c>
      <c r="AO218" s="1" t="s">
        <v>41</v>
      </c>
      <c r="AP218" s="50" t="s">
        <v>71</v>
      </c>
      <c r="AQ218" s="50" t="s">
        <v>99</v>
      </c>
      <c r="AR218" s="1">
        <v>6</v>
      </c>
      <c r="AS218" s="1"/>
      <c r="AT218" s="1">
        <v>1</v>
      </c>
      <c r="AU218" s="1"/>
      <c r="AV218" s="1" t="s">
        <v>58</v>
      </c>
    </row>
    <row r="219" spans="1:48" ht="15.75" customHeight="1" x14ac:dyDescent="0.3">
      <c r="A219" s="1">
        <v>234</v>
      </c>
      <c r="B219" s="16">
        <v>44979</v>
      </c>
      <c r="C219" s="1" t="s">
        <v>703</v>
      </c>
      <c r="D219" s="1" t="str">
        <f t="shared" si="9"/>
        <v>MTI-P-049</v>
      </c>
      <c r="E219" s="1" t="s">
        <v>584</v>
      </c>
      <c r="F219" s="1" t="s">
        <v>36</v>
      </c>
      <c r="G219" s="1">
        <v>22</v>
      </c>
      <c r="H219" s="1"/>
      <c r="I219" s="1" t="s">
        <v>68</v>
      </c>
      <c r="J219" s="1"/>
      <c r="K219" s="1">
        <v>53</v>
      </c>
      <c r="L219" s="1">
        <v>166</v>
      </c>
      <c r="M219" s="1">
        <f t="shared" si="8"/>
        <v>1.66</v>
      </c>
      <c r="N219" s="7">
        <f t="shared" si="10"/>
        <v>19.233560749020178</v>
      </c>
      <c r="O219" s="1" t="s">
        <v>359</v>
      </c>
      <c r="P219" s="1">
        <v>38</v>
      </c>
      <c r="Q219" s="1" t="s">
        <v>41</v>
      </c>
      <c r="R219" s="1"/>
      <c r="S219" s="1" t="s">
        <v>38</v>
      </c>
      <c r="T219" s="1" t="s">
        <v>53</v>
      </c>
      <c r="U219" s="1" t="s">
        <v>38</v>
      </c>
      <c r="V219" s="1" t="s">
        <v>43</v>
      </c>
      <c r="W219" s="1" t="s">
        <v>38</v>
      </c>
      <c r="X219" s="1" t="s">
        <v>51</v>
      </c>
      <c r="Y219" s="1" t="s">
        <v>41</v>
      </c>
      <c r="Z219" s="1"/>
      <c r="AA219" s="1" t="s">
        <v>41</v>
      </c>
      <c r="AB219" s="1"/>
      <c r="AC219" s="1" t="s">
        <v>41</v>
      </c>
      <c r="AD219" s="1"/>
      <c r="AE219" s="1" t="s">
        <v>41</v>
      </c>
      <c r="AF219" s="1"/>
      <c r="AG219" s="1" t="s">
        <v>38</v>
      </c>
      <c r="AH219" s="1" t="s">
        <v>41</v>
      </c>
      <c r="AI219" s="1" t="s">
        <v>41</v>
      </c>
      <c r="AJ219" s="1" t="s">
        <v>41</v>
      </c>
      <c r="AK219" s="1" t="s">
        <v>38</v>
      </c>
      <c r="AL219" s="1" t="s">
        <v>41</v>
      </c>
      <c r="AM219" s="1" t="s">
        <v>41</v>
      </c>
      <c r="AN219" s="1" t="s">
        <v>41</v>
      </c>
      <c r="AO219" s="1" t="s">
        <v>41</v>
      </c>
      <c r="AP219" s="50" t="s">
        <v>79</v>
      </c>
      <c r="AQ219" s="50" t="s">
        <v>57</v>
      </c>
      <c r="AR219" s="1">
        <v>6</v>
      </c>
      <c r="AS219" s="1"/>
      <c r="AT219" s="1">
        <v>3</v>
      </c>
      <c r="AU219" s="1"/>
      <c r="AV219" s="1" t="s">
        <v>46</v>
      </c>
    </row>
    <row r="220" spans="1:48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50"/>
      <c r="AQ220" s="50"/>
      <c r="AR220" s="1"/>
      <c r="AS220" s="1"/>
      <c r="AT220" s="1"/>
      <c r="AU220" s="1"/>
      <c r="AV220" s="1"/>
    </row>
    <row r="221" spans="1:48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50"/>
      <c r="AQ221" s="50"/>
      <c r="AR221" s="1"/>
      <c r="AS221" s="1"/>
      <c r="AT221" s="1"/>
      <c r="AU221" s="1"/>
      <c r="AV221" s="1"/>
    </row>
    <row r="222" spans="1:48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50"/>
      <c r="AQ222" s="50"/>
      <c r="AR222" s="1"/>
      <c r="AS222" s="1"/>
      <c r="AT222" s="1"/>
      <c r="AU222" s="1"/>
      <c r="AV222" s="1"/>
    </row>
    <row r="223" spans="1:48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50"/>
      <c r="AQ223" s="50"/>
      <c r="AR223" s="1"/>
      <c r="AS223" s="1"/>
      <c r="AT223" s="1"/>
      <c r="AU223" s="1"/>
      <c r="AV223" s="1"/>
    </row>
    <row r="224" spans="1:48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50"/>
      <c r="AQ224" s="50"/>
      <c r="AR224" s="1"/>
      <c r="AS224" s="1"/>
      <c r="AT224" s="1"/>
      <c r="AU224" s="1"/>
      <c r="AV224" s="1"/>
    </row>
    <row r="225" spans="1:48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50"/>
      <c r="AQ225" s="50"/>
      <c r="AR225" s="1"/>
      <c r="AS225" s="1"/>
      <c r="AT225" s="1"/>
      <c r="AU225" s="1"/>
      <c r="AV225" s="1"/>
    </row>
    <row r="226" spans="1:48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50"/>
      <c r="AQ226" s="50"/>
      <c r="AR226" s="1"/>
      <c r="AS226" s="1"/>
      <c r="AT226" s="1"/>
      <c r="AU226" s="1"/>
      <c r="AV226" s="1"/>
    </row>
    <row r="227" spans="1:48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50"/>
      <c r="AQ227" s="50"/>
      <c r="AR227" s="1"/>
      <c r="AS227" s="1"/>
      <c r="AT227" s="1"/>
      <c r="AU227" s="1"/>
      <c r="AV227" s="1"/>
    </row>
    <row r="228" spans="1:48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50"/>
      <c r="AQ228" s="50"/>
      <c r="AR228" s="1"/>
      <c r="AS228" s="1"/>
      <c r="AT228" s="1"/>
      <c r="AU228" s="1"/>
      <c r="AV228" s="1"/>
    </row>
    <row r="229" spans="1:48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50"/>
      <c r="AQ229" s="50"/>
      <c r="AR229" s="1"/>
      <c r="AS229" s="1"/>
      <c r="AT229" s="1"/>
      <c r="AU229" s="1"/>
      <c r="AV229" s="1"/>
    </row>
    <row r="230" spans="1:48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50"/>
      <c r="AQ230" s="50"/>
      <c r="AR230" s="1"/>
      <c r="AS230" s="1"/>
      <c r="AT230" s="1"/>
      <c r="AU230" s="1"/>
      <c r="AV230" s="1"/>
    </row>
    <row r="231" spans="1:48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50"/>
      <c r="AQ231" s="50"/>
      <c r="AR231" s="1"/>
      <c r="AS231" s="1"/>
      <c r="AT231" s="1"/>
      <c r="AU231" s="1"/>
      <c r="AV231" s="1"/>
    </row>
    <row r="232" spans="1:48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50"/>
      <c r="AQ232" s="50"/>
      <c r="AR232" s="1"/>
      <c r="AS232" s="1"/>
      <c r="AT232" s="1"/>
      <c r="AU232" s="1"/>
      <c r="AV232" s="1"/>
    </row>
    <row r="233" spans="1:48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50"/>
      <c r="AQ233" s="50"/>
      <c r="AR233" s="1"/>
      <c r="AS233" s="1"/>
      <c r="AT233" s="1"/>
      <c r="AU233" s="1"/>
      <c r="AV233" s="1"/>
    </row>
    <row r="234" spans="1:48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50"/>
      <c r="AQ234" s="50"/>
      <c r="AR234" s="1"/>
      <c r="AS234" s="1"/>
      <c r="AT234" s="1"/>
      <c r="AU234" s="1"/>
      <c r="AV234" s="1"/>
    </row>
    <row r="235" spans="1:48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50"/>
      <c r="AQ235" s="50"/>
      <c r="AR235" s="1"/>
      <c r="AS235" s="1"/>
      <c r="AT235" s="1"/>
      <c r="AU235" s="1"/>
      <c r="AV235" s="1"/>
    </row>
    <row r="236" spans="1:48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50"/>
      <c r="AQ236" s="50"/>
      <c r="AR236" s="1"/>
      <c r="AS236" s="1"/>
      <c r="AT236" s="1"/>
      <c r="AU236" s="1"/>
      <c r="AV236" s="1"/>
    </row>
    <row r="237" spans="1:48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50"/>
      <c r="AQ237" s="50"/>
      <c r="AR237" s="1"/>
      <c r="AS237" s="1"/>
      <c r="AT237" s="1"/>
      <c r="AU237" s="1"/>
      <c r="AV237" s="1"/>
    </row>
    <row r="238" spans="1:48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50"/>
      <c r="AQ238" s="50"/>
      <c r="AR238" s="1"/>
      <c r="AS238" s="1"/>
      <c r="AT238" s="1"/>
      <c r="AU238" s="1"/>
      <c r="AV238" s="1"/>
    </row>
    <row r="239" spans="1:48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50"/>
      <c r="AQ239" s="50"/>
      <c r="AR239" s="1"/>
      <c r="AS239" s="1"/>
      <c r="AT239" s="1"/>
      <c r="AU239" s="1"/>
      <c r="AV239" s="1"/>
    </row>
    <row r="240" spans="1:48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50"/>
      <c r="AQ240" s="50"/>
      <c r="AR240" s="1"/>
      <c r="AS240" s="1"/>
      <c r="AT240" s="1"/>
      <c r="AU240" s="1"/>
      <c r="AV240" s="1"/>
    </row>
    <row r="241" spans="1:48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50"/>
      <c r="AQ241" s="50"/>
      <c r="AR241" s="1"/>
      <c r="AS241" s="1"/>
      <c r="AT241" s="1"/>
      <c r="AU241" s="1"/>
      <c r="AV241" s="1"/>
    </row>
    <row r="242" spans="1:48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50"/>
      <c r="AQ242" s="50"/>
      <c r="AR242" s="1"/>
      <c r="AS242" s="1"/>
      <c r="AT242" s="1"/>
      <c r="AU242" s="1"/>
      <c r="AV242" s="1"/>
    </row>
    <row r="243" spans="1:48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50"/>
      <c r="AQ243" s="50"/>
      <c r="AR243" s="1"/>
      <c r="AS243" s="1"/>
      <c r="AT243" s="1"/>
      <c r="AU243" s="1"/>
      <c r="AV243" s="1"/>
    </row>
    <row r="244" spans="1:48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50"/>
      <c r="AQ244" s="50"/>
      <c r="AR244" s="1"/>
      <c r="AS244" s="1"/>
      <c r="AT244" s="1"/>
      <c r="AU244" s="1"/>
      <c r="AV244" s="1"/>
    </row>
    <row r="245" spans="1:48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50"/>
      <c r="AQ245" s="50"/>
      <c r="AR245" s="1"/>
      <c r="AS245" s="1"/>
      <c r="AT245" s="1"/>
      <c r="AU245" s="1"/>
      <c r="AV245" s="1"/>
    </row>
    <row r="246" spans="1:48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50"/>
      <c r="AQ246" s="50"/>
      <c r="AR246" s="1"/>
      <c r="AS246" s="1"/>
      <c r="AT246" s="1"/>
      <c r="AU246" s="1"/>
      <c r="AV246" s="1"/>
    </row>
    <row r="247" spans="1:48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50"/>
      <c r="AQ247" s="50"/>
      <c r="AR247" s="1"/>
      <c r="AS247" s="1"/>
      <c r="AT247" s="1"/>
      <c r="AU247" s="1"/>
      <c r="AV247" s="1"/>
    </row>
    <row r="248" spans="1:48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50"/>
      <c r="AQ248" s="50"/>
      <c r="AR248" s="1"/>
      <c r="AS248" s="1"/>
      <c r="AT248" s="1"/>
      <c r="AU248" s="1"/>
      <c r="AV248" s="1"/>
    </row>
    <row r="249" spans="1:48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50"/>
      <c r="AQ249" s="50"/>
      <c r="AR249" s="1"/>
      <c r="AS249" s="1"/>
      <c r="AT249" s="1"/>
      <c r="AU249" s="1"/>
      <c r="AV249" s="1"/>
    </row>
    <row r="250" spans="1:48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50"/>
      <c r="AQ250" s="50"/>
      <c r="AR250" s="1"/>
      <c r="AS250" s="1"/>
      <c r="AT250" s="1"/>
      <c r="AU250" s="1"/>
      <c r="AV250" s="1"/>
    </row>
    <row r="251" spans="1:48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50"/>
      <c r="AQ251" s="50"/>
      <c r="AR251" s="1"/>
      <c r="AS251" s="1"/>
      <c r="AT251" s="1"/>
      <c r="AU251" s="1"/>
      <c r="AV251" s="1"/>
    </row>
    <row r="252" spans="1:48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50"/>
      <c r="AQ252" s="50"/>
      <c r="AR252" s="1"/>
      <c r="AS252" s="1"/>
      <c r="AT252" s="1"/>
      <c r="AU252" s="1"/>
      <c r="AV252" s="1"/>
    </row>
    <row r="253" spans="1:48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50"/>
      <c r="AQ253" s="50"/>
      <c r="AR253" s="1"/>
      <c r="AS253" s="1"/>
      <c r="AT253" s="1"/>
      <c r="AU253" s="1"/>
      <c r="AV253" s="1"/>
    </row>
    <row r="254" spans="1:48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50"/>
      <c r="AQ254" s="50"/>
      <c r="AR254" s="1"/>
      <c r="AS254" s="1"/>
      <c r="AT254" s="1"/>
      <c r="AU254" s="1"/>
      <c r="AV254" s="1"/>
    </row>
    <row r="255" spans="1:48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50"/>
      <c r="AQ255" s="50"/>
      <c r="AR255" s="1"/>
      <c r="AS255" s="1"/>
      <c r="AT255" s="1"/>
      <c r="AU255" s="1"/>
      <c r="AV255" s="1"/>
    </row>
    <row r="256" spans="1:48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50"/>
      <c r="AQ256" s="50"/>
      <c r="AR256" s="1"/>
      <c r="AS256" s="1"/>
      <c r="AT256" s="1"/>
      <c r="AU256" s="1"/>
      <c r="AV256" s="1"/>
    </row>
    <row r="257" spans="1:48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50"/>
      <c r="AQ257" s="50"/>
      <c r="AR257" s="1"/>
      <c r="AS257" s="1"/>
      <c r="AT257" s="1"/>
      <c r="AU257" s="1"/>
      <c r="AV257" s="1"/>
    </row>
    <row r="258" spans="1:48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50"/>
      <c r="AQ258" s="50"/>
      <c r="AR258" s="1"/>
      <c r="AS258" s="1"/>
      <c r="AT258" s="1"/>
      <c r="AU258" s="1"/>
      <c r="AV258" s="1"/>
    </row>
    <row r="259" spans="1:48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50"/>
      <c r="AQ259" s="50"/>
      <c r="AR259" s="1"/>
      <c r="AS259" s="1"/>
      <c r="AT259" s="1"/>
      <c r="AU259" s="1"/>
      <c r="AV259" s="1"/>
    </row>
    <row r="260" spans="1:48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50"/>
      <c r="AQ260" s="50"/>
      <c r="AR260" s="1"/>
      <c r="AS260" s="1"/>
      <c r="AT260" s="1"/>
      <c r="AU260" s="1"/>
      <c r="AV260" s="1"/>
    </row>
    <row r="261" spans="1:48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50"/>
      <c r="AQ261" s="50"/>
      <c r="AR261" s="1"/>
      <c r="AS261" s="1"/>
      <c r="AT261" s="1"/>
      <c r="AU261" s="1"/>
      <c r="AV261" s="1"/>
    </row>
    <row r="262" spans="1:48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50"/>
      <c r="AQ262" s="50"/>
      <c r="AR262" s="1"/>
      <c r="AS262" s="1"/>
      <c r="AT262" s="1"/>
      <c r="AU262" s="1"/>
      <c r="AV262" s="1"/>
    </row>
    <row r="263" spans="1:48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50"/>
      <c r="AQ263" s="50"/>
      <c r="AR263" s="1"/>
      <c r="AS263" s="1"/>
      <c r="AT263" s="1"/>
      <c r="AU263" s="1"/>
      <c r="AV263" s="1"/>
    </row>
    <row r="264" spans="1:48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50"/>
      <c r="AQ264" s="50"/>
      <c r="AR264" s="1"/>
      <c r="AS264" s="1"/>
      <c r="AT264" s="1"/>
      <c r="AU264" s="1"/>
      <c r="AV264" s="1"/>
    </row>
    <row r="265" spans="1:48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50"/>
      <c r="AQ265" s="50"/>
      <c r="AR265" s="1"/>
      <c r="AS265" s="1"/>
      <c r="AT265" s="1"/>
      <c r="AU265" s="1"/>
      <c r="AV265" s="1"/>
    </row>
    <row r="266" spans="1:48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50"/>
      <c r="AQ266" s="50"/>
      <c r="AR266" s="1"/>
      <c r="AS266" s="1"/>
      <c r="AT266" s="1"/>
      <c r="AU266" s="1"/>
      <c r="AV266" s="1"/>
    </row>
    <row r="267" spans="1:48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50"/>
      <c r="AQ267" s="50"/>
      <c r="AR267" s="1"/>
      <c r="AS267" s="1"/>
      <c r="AT267" s="1"/>
      <c r="AU267" s="1"/>
      <c r="AV267" s="1"/>
    </row>
    <row r="268" spans="1:48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50"/>
      <c r="AQ268" s="50"/>
      <c r="AR268" s="1"/>
      <c r="AS268" s="1"/>
      <c r="AT268" s="1"/>
      <c r="AU268" s="1"/>
      <c r="AV268" s="1"/>
    </row>
    <row r="269" spans="1:48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50"/>
      <c r="AQ269" s="50"/>
      <c r="AR269" s="1"/>
      <c r="AS269" s="1"/>
      <c r="AT269" s="1"/>
      <c r="AU269" s="1"/>
      <c r="AV269" s="1"/>
    </row>
    <row r="270" spans="1:48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50"/>
      <c r="AQ270" s="50"/>
      <c r="AR270" s="1"/>
      <c r="AS270" s="1"/>
      <c r="AT270" s="1"/>
      <c r="AU270" s="1"/>
      <c r="AV270" s="1"/>
    </row>
    <row r="271" spans="1:48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50"/>
      <c r="AQ271" s="50"/>
      <c r="AR271" s="1"/>
      <c r="AS271" s="1"/>
      <c r="AT271" s="1"/>
      <c r="AU271" s="1"/>
      <c r="AV271" s="1"/>
    </row>
    <row r="272" spans="1:48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50"/>
      <c r="AQ272" s="50"/>
      <c r="AR272" s="1"/>
      <c r="AS272" s="1"/>
      <c r="AT272" s="1"/>
      <c r="AU272" s="1"/>
      <c r="AV272" s="1"/>
    </row>
    <row r="273" spans="1:48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50"/>
      <c r="AQ273" s="50"/>
      <c r="AR273" s="1"/>
      <c r="AS273" s="1"/>
      <c r="AT273" s="1"/>
      <c r="AU273" s="1"/>
      <c r="AV273" s="1"/>
    </row>
    <row r="274" spans="1:48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50"/>
      <c r="AQ274" s="50"/>
      <c r="AR274" s="1"/>
      <c r="AS274" s="1"/>
      <c r="AT274" s="1"/>
      <c r="AU274" s="1"/>
      <c r="AV274" s="1"/>
    </row>
    <row r="275" spans="1:48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50"/>
      <c r="AQ275" s="50"/>
      <c r="AR275" s="1"/>
      <c r="AS275" s="1"/>
      <c r="AT275" s="1"/>
      <c r="AU275" s="1"/>
      <c r="AV275" s="1"/>
    </row>
    <row r="276" spans="1:48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50"/>
      <c r="AQ276" s="50"/>
      <c r="AR276" s="1"/>
      <c r="AS276" s="1"/>
      <c r="AT276" s="1"/>
      <c r="AU276" s="1"/>
      <c r="AV276" s="1"/>
    </row>
    <row r="277" spans="1:48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50"/>
      <c r="AQ277" s="50"/>
      <c r="AR277" s="1"/>
      <c r="AS277" s="1"/>
      <c r="AT277" s="1"/>
      <c r="AU277" s="1"/>
      <c r="AV277" s="1"/>
    </row>
    <row r="278" spans="1:48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50"/>
      <c r="AQ278" s="50"/>
      <c r="AR278" s="1"/>
      <c r="AS278" s="1"/>
      <c r="AT278" s="1"/>
      <c r="AU278" s="1"/>
      <c r="AV278" s="1"/>
    </row>
    <row r="279" spans="1:48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50"/>
      <c r="AQ279" s="50"/>
      <c r="AR279" s="1"/>
      <c r="AS279" s="1"/>
      <c r="AT279" s="1"/>
      <c r="AU279" s="1"/>
      <c r="AV279" s="1"/>
    </row>
    <row r="280" spans="1:48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50"/>
      <c r="AQ280" s="50"/>
      <c r="AR280" s="1"/>
      <c r="AS280" s="1"/>
      <c r="AT280" s="1"/>
      <c r="AU280" s="1"/>
      <c r="AV280" s="1"/>
    </row>
    <row r="281" spans="1:48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50"/>
      <c r="AQ281" s="50"/>
      <c r="AR281" s="1"/>
      <c r="AS281" s="1"/>
      <c r="AT281" s="1"/>
      <c r="AU281" s="1"/>
      <c r="AV281" s="1"/>
    </row>
    <row r="282" spans="1:48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50"/>
      <c r="AQ282" s="50"/>
      <c r="AR282" s="1"/>
      <c r="AS282" s="1"/>
      <c r="AT282" s="1"/>
      <c r="AU282" s="1"/>
      <c r="AV282" s="1"/>
    </row>
    <row r="283" spans="1:48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50"/>
      <c r="AQ283" s="50"/>
      <c r="AR283" s="1"/>
      <c r="AS283" s="1"/>
      <c r="AT283" s="1"/>
      <c r="AU283" s="1"/>
      <c r="AV283" s="1"/>
    </row>
    <row r="284" spans="1:48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50"/>
      <c r="AQ284" s="50"/>
      <c r="AR284" s="1"/>
      <c r="AS284" s="1"/>
      <c r="AT284" s="1"/>
      <c r="AU284" s="1"/>
      <c r="AV284" s="1"/>
    </row>
    <row r="285" spans="1:48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50"/>
      <c r="AQ285" s="50"/>
      <c r="AR285" s="1"/>
      <c r="AS285" s="1"/>
      <c r="AT285" s="1"/>
      <c r="AU285" s="1"/>
      <c r="AV285" s="1"/>
    </row>
    <row r="286" spans="1:48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50"/>
      <c r="AQ286" s="50"/>
      <c r="AR286" s="1"/>
      <c r="AS286" s="1"/>
      <c r="AT286" s="1"/>
      <c r="AU286" s="1"/>
      <c r="AV286" s="1"/>
    </row>
    <row r="287" spans="1:48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50"/>
      <c r="AQ287" s="50"/>
      <c r="AR287" s="1"/>
      <c r="AS287" s="1"/>
      <c r="AT287" s="1"/>
      <c r="AU287" s="1"/>
      <c r="AV287" s="1"/>
    </row>
    <row r="288" spans="1:48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50"/>
      <c r="AQ288" s="50"/>
      <c r="AR288" s="1"/>
      <c r="AS288" s="1"/>
      <c r="AT288" s="1"/>
      <c r="AU288" s="1"/>
      <c r="AV288" s="1"/>
    </row>
    <row r="289" spans="1:48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50"/>
      <c r="AQ289" s="50"/>
      <c r="AR289" s="1"/>
      <c r="AS289" s="1"/>
      <c r="AT289" s="1"/>
      <c r="AU289" s="1"/>
      <c r="AV289" s="1"/>
    </row>
    <row r="290" spans="1:48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50"/>
      <c r="AQ290" s="50"/>
      <c r="AR290" s="1"/>
      <c r="AS290" s="1"/>
      <c r="AT290" s="1"/>
      <c r="AU290" s="1"/>
      <c r="AV290" s="1"/>
    </row>
    <row r="291" spans="1:48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50"/>
      <c r="AQ291" s="50"/>
      <c r="AR291" s="1"/>
      <c r="AS291" s="1"/>
      <c r="AT291" s="1"/>
      <c r="AU291" s="1"/>
      <c r="AV291" s="1"/>
    </row>
    <row r="292" spans="1:48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50"/>
      <c r="AQ292" s="50"/>
      <c r="AR292" s="1"/>
      <c r="AS292" s="1"/>
      <c r="AT292" s="1"/>
      <c r="AU292" s="1"/>
      <c r="AV292" s="1"/>
    </row>
    <row r="293" spans="1:48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50"/>
      <c r="AQ293" s="50"/>
      <c r="AR293" s="1"/>
      <c r="AS293" s="1"/>
      <c r="AT293" s="1"/>
      <c r="AU293" s="1"/>
      <c r="AV293" s="1"/>
    </row>
    <row r="294" spans="1:48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50"/>
      <c r="AQ294" s="50"/>
      <c r="AR294" s="1"/>
      <c r="AS294" s="1"/>
      <c r="AT294" s="1"/>
      <c r="AU294" s="1"/>
      <c r="AV294" s="1"/>
    </row>
    <row r="295" spans="1:48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50"/>
      <c r="AQ295" s="50"/>
      <c r="AR295" s="1"/>
      <c r="AS295" s="1"/>
      <c r="AT295" s="1"/>
      <c r="AU295" s="1"/>
      <c r="AV295" s="1"/>
    </row>
    <row r="296" spans="1:48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50"/>
      <c r="AQ296" s="50"/>
      <c r="AR296" s="1"/>
      <c r="AS296" s="1"/>
      <c r="AT296" s="1"/>
      <c r="AU296" s="1"/>
      <c r="AV296" s="1"/>
    </row>
    <row r="297" spans="1:48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50"/>
      <c r="AQ297" s="50"/>
      <c r="AR297" s="1"/>
      <c r="AS297" s="1"/>
      <c r="AT297" s="1"/>
      <c r="AU297" s="1"/>
      <c r="AV297" s="1"/>
    </row>
    <row r="298" spans="1:48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50"/>
      <c r="AQ298" s="50"/>
      <c r="AR298" s="1"/>
      <c r="AS298" s="1"/>
      <c r="AT298" s="1"/>
      <c r="AU298" s="1"/>
      <c r="AV298" s="1"/>
    </row>
    <row r="299" spans="1:48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50"/>
      <c r="AQ299" s="50"/>
      <c r="AR299" s="1"/>
      <c r="AS299" s="1"/>
      <c r="AT299" s="1"/>
      <c r="AU299" s="1"/>
      <c r="AV299" s="1"/>
    </row>
    <row r="300" spans="1:48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50"/>
      <c r="AQ300" s="50"/>
      <c r="AR300" s="1"/>
      <c r="AS300" s="1"/>
      <c r="AT300" s="1"/>
      <c r="AU300" s="1"/>
      <c r="AV300" s="1"/>
    </row>
    <row r="301" spans="1:48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50"/>
      <c r="AQ301" s="50"/>
      <c r="AR301" s="1"/>
      <c r="AS301" s="1"/>
      <c r="AT301" s="1"/>
      <c r="AU301" s="1"/>
      <c r="AV301" s="1"/>
    </row>
    <row r="302" spans="1:48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50"/>
      <c r="AQ302" s="50"/>
      <c r="AR302" s="1"/>
      <c r="AS302" s="1"/>
      <c r="AT302" s="1"/>
      <c r="AU302" s="1"/>
      <c r="AV302" s="1"/>
    </row>
    <row r="303" spans="1:48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50"/>
      <c r="AQ303" s="50"/>
      <c r="AR303" s="1"/>
      <c r="AS303" s="1"/>
      <c r="AT303" s="1"/>
      <c r="AU303" s="1"/>
      <c r="AV303" s="1"/>
    </row>
    <row r="304" spans="1:48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50"/>
      <c r="AQ304" s="50"/>
      <c r="AR304" s="1"/>
      <c r="AS304" s="1"/>
      <c r="AT304" s="1"/>
      <c r="AU304" s="1"/>
      <c r="AV304" s="1"/>
    </row>
    <row r="305" spans="1:48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50"/>
      <c r="AQ305" s="50"/>
      <c r="AR305" s="1"/>
      <c r="AS305" s="1"/>
      <c r="AT305" s="1"/>
      <c r="AU305" s="1"/>
      <c r="AV305" s="1"/>
    </row>
    <row r="306" spans="1:48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50"/>
      <c r="AQ306" s="50"/>
      <c r="AR306" s="1"/>
      <c r="AS306" s="1"/>
      <c r="AT306" s="1"/>
      <c r="AU306" s="1"/>
      <c r="AV306" s="1"/>
    </row>
    <row r="307" spans="1:48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50"/>
      <c r="AQ307" s="50"/>
      <c r="AR307" s="1"/>
      <c r="AS307" s="1"/>
      <c r="AT307" s="1"/>
      <c r="AU307" s="1"/>
      <c r="AV307" s="1"/>
    </row>
    <row r="308" spans="1:48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50"/>
      <c r="AQ308" s="50"/>
      <c r="AR308" s="1"/>
      <c r="AS308" s="1"/>
      <c r="AT308" s="1"/>
      <c r="AU308" s="1"/>
      <c r="AV308" s="1"/>
    </row>
    <row r="309" spans="1:48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50"/>
      <c r="AQ309" s="50"/>
      <c r="AR309" s="1"/>
      <c r="AS309" s="1"/>
      <c r="AT309" s="1"/>
      <c r="AU309" s="1"/>
      <c r="AV309" s="1"/>
    </row>
    <row r="310" spans="1:48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50"/>
      <c r="AQ310" s="50"/>
      <c r="AR310" s="1"/>
      <c r="AS310" s="1"/>
      <c r="AT310" s="1"/>
      <c r="AU310" s="1"/>
      <c r="AV310" s="1"/>
    </row>
    <row r="311" spans="1:48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50"/>
      <c r="AQ311" s="50"/>
      <c r="AR311" s="1"/>
      <c r="AS311" s="1"/>
      <c r="AT311" s="1"/>
      <c r="AU311" s="1"/>
      <c r="AV311" s="1"/>
    </row>
    <row r="312" spans="1:48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50"/>
      <c r="AQ312" s="50"/>
      <c r="AR312" s="1"/>
      <c r="AS312" s="1"/>
      <c r="AT312" s="1"/>
      <c r="AU312" s="1"/>
      <c r="AV312" s="1"/>
    </row>
    <row r="313" spans="1:48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50"/>
      <c r="AQ313" s="50"/>
      <c r="AR313" s="1"/>
      <c r="AS313" s="1"/>
      <c r="AT313" s="1"/>
      <c r="AU313" s="1"/>
      <c r="AV313" s="1"/>
    </row>
    <row r="314" spans="1:48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50"/>
      <c r="AQ314" s="50"/>
      <c r="AR314" s="1"/>
      <c r="AS314" s="1"/>
      <c r="AT314" s="1"/>
      <c r="AU314" s="1"/>
      <c r="AV314" s="1"/>
    </row>
    <row r="315" spans="1:48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50"/>
      <c r="AQ315" s="50"/>
      <c r="AR315" s="1"/>
      <c r="AS315" s="1"/>
      <c r="AT315" s="1"/>
      <c r="AU315" s="1"/>
      <c r="AV315" s="1"/>
    </row>
    <row r="316" spans="1:48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50"/>
      <c r="AQ316" s="50"/>
      <c r="AR316" s="1"/>
      <c r="AS316" s="1"/>
      <c r="AT316" s="1"/>
      <c r="AU316" s="1"/>
      <c r="AV316" s="1"/>
    </row>
    <row r="317" spans="1:48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50"/>
      <c r="AQ317" s="50"/>
      <c r="AR317" s="1"/>
      <c r="AS317" s="1"/>
      <c r="AT317" s="1"/>
      <c r="AU317" s="1"/>
      <c r="AV317" s="1"/>
    </row>
    <row r="318" spans="1:48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50"/>
      <c r="AQ318" s="50"/>
      <c r="AR318" s="1"/>
      <c r="AS318" s="1"/>
      <c r="AT318" s="1"/>
      <c r="AU318" s="1"/>
      <c r="AV318" s="1"/>
    </row>
    <row r="319" spans="1:48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50"/>
      <c r="AQ319" s="50"/>
      <c r="AR319" s="1"/>
      <c r="AS319" s="1"/>
      <c r="AT319" s="1"/>
      <c r="AU319" s="1"/>
      <c r="AV319" s="1"/>
    </row>
    <row r="320" spans="1:48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50"/>
      <c r="AQ320" s="50"/>
      <c r="AR320" s="1"/>
      <c r="AS320" s="1"/>
      <c r="AT320" s="1"/>
      <c r="AU320" s="1"/>
      <c r="AV320" s="1"/>
    </row>
    <row r="321" spans="1:48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50"/>
      <c r="AQ321" s="50"/>
      <c r="AR321" s="1"/>
      <c r="AS321" s="1"/>
      <c r="AT321" s="1"/>
      <c r="AU321" s="1"/>
      <c r="AV321" s="1"/>
    </row>
    <row r="322" spans="1:48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50"/>
      <c r="AQ322" s="50"/>
      <c r="AR322" s="1"/>
      <c r="AS322" s="1"/>
      <c r="AT322" s="1"/>
      <c r="AU322" s="1"/>
      <c r="AV322" s="1"/>
    </row>
    <row r="323" spans="1:48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50"/>
      <c r="AQ323" s="50"/>
      <c r="AR323" s="1"/>
      <c r="AS323" s="1"/>
      <c r="AT323" s="1"/>
      <c r="AU323" s="1"/>
      <c r="AV323" s="1"/>
    </row>
    <row r="324" spans="1:48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50"/>
      <c r="AQ324" s="50"/>
      <c r="AR324" s="1"/>
      <c r="AS324" s="1"/>
      <c r="AT324" s="1"/>
      <c r="AU324" s="1"/>
      <c r="AV324" s="1"/>
    </row>
    <row r="325" spans="1:48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50"/>
      <c r="AQ325" s="50"/>
      <c r="AR325" s="1"/>
      <c r="AS325" s="1"/>
      <c r="AT325" s="1"/>
      <c r="AU325" s="1"/>
      <c r="AV325" s="1"/>
    </row>
    <row r="326" spans="1:48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50"/>
      <c r="AQ326" s="50"/>
      <c r="AR326" s="1"/>
      <c r="AS326" s="1"/>
      <c r="AT326" s="1"/>
      <c r="AU326" s="1"/>
      <c r="AV326" s="1"/>
    </row>
    <row r="327" spans="1:48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50"/>
      <c r="AQ327" s="50"/>
      <c r="AR327" s="1"/>
      <c r="AS327" s="1"/>
      <c r="AT327" s="1"/>
      <c r="AU327" s="1"/>
      <c r="AV327" s="1"/>
    </row>
    <row r="328" spans="1:48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50"/>
      <c r="AQ328" s="50"/>
      <c r="AR328" s="1"/>
      <c r="AS328" s="1"/>
      <c r="AT328" s="1"/>
      <c r="AU328" s="1"/>
      <c r="AV328" s="1"/>
    </row>
    <row r="329" spans="1:48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50"/>
      <c r="AQ329" s="50"/>
      <c r="AR329" s="1"/>
      <c r="AS329" s="1"/>
      <c r="AT329" s="1"/>
      <c r="AU329" s="1"/>
      <c r="AV329" s="1"/>
    </row>
    <row r="330" spans="1:48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50"/>
      <c r="AQ330" s="50"/>
      <c r="AR330" s="1"/>
      <c r="AS330" s="1"/>
      <c r="AT330" s="1"/>
      <c r="AU330" s="1"/>
      <c r="AV330" s="1"/>
    </row>
    <row r="331" spans="1:48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50"/>
      <c r="AQ331" s="50"/>
      <c r="AR331" s="1"/>
      <c r="AS331" s="1"/>
      <c r="AT331" s="1"/>
      <c r="AU331" s="1"/>
      <c r="AV331" s="1"/>
    </row>
    <row r="332" spans="1:48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50"/>
      <c r="AQ332" s="50"/>
      <c r="AR332" s="1"/>
      <c r="AS332" s="1"/>
      <c r="AT332" s="1"/>
      <c r="AU332" s="1"/>
      <c r="AV332" s="1"/>
    </row>
    <row r="333" spans="1:48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50"/>
      <c r="AQ333" s="50"/>
      <c r="AR333" s="1"/>
      <c r="AS333" s="1"/>
      <c r="AT333" s="1"/>
      <c r="AU333" s="1"/>
      <c r="AV333" s="1"/>
    </row>
    <row r="334" spans="1:48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50"/>
      <c r="AQ334" s="50"/>
      <c r="AR334" s="1"/>
      <c r="AS334" s="1"/>
      <c r="AT334" s="1"/>
      <c r="AU334" s="1"/>
      <c r="AV334" s="1"/>
    </row>
    <row r="335" spans="1:48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50"/>
      <c r="AQ335" s="50"/>
      <c r="AR335" s="1"/>
      <c r="AS335" s="1"/>
      <c r="AT335" s="1"/>
      <c r="AU335" s="1"/>
      <c r="AV335" s="1"/>
    </row>
    <row r="336" spans="1:48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50"/>
      <c r="AQ336" s="50"/>
      <c r="AR336" s="1"/>
      <c r="AS336" s="1"/>
      <c r="AT336" s="1"/>
      <c r="AU336" s="1"/>
      <c r="AV336" s="1"/>
    </row>
    <row r="337" spans="1:48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50"/>
      <c r="AQ337" s="50"/>
      <c r="AR337" s="1"/>
      <c r="AS337" s="1"/>
      <c r="AT337" s="1"/>
      <c r="AU337" s="1"/>
      <c r="AV337" s="1"/>
    </row>
    <row r="338" spans="1:48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50"/>
      <c r="AQ338" s="50"/>
      <c r="AR338" s="1"/>
      <c r="AS338" s="1"/>
      <c r="AT338" s="1"/>
      <c r="AU338" s="1"/>
      <c r="AV338" s="1"/>
    </row>
    <row r="339" spans="1:48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50"/>
      <c r="AQ339" s="50"/>
      <c r="AR339" s="1"/>
      <c r="AS339" s="1"/>
      <c r="AT339" s="1"/>
      <c r="AU339" s="1"/>
      <c r="AV339" s="1"/>
    </row>
    <row r="340" spans="1:48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50"/>
      <c r="AQ340" s="50"/>
      <c r="AR340" s="1"/>
      <c r="AS340" s="1"/>
      <c r="AT340" s="1"/>
      <c r="AU340" s="1"/>
      <c r="AV340" s="1"/>
    </row>
    <row r="341" spans="1:48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50"/>
      <c r="AQ341" s="50"/>
      <c r="AR341" s="1"/>
      <c r="AS341" s="1"/>
      <c r="AT341" s="1"/>
      <c r="AU341" s="1"/>
      <c r="AV341" s="1"/>
    </row>
    <row r="342" spans="1:48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50"/>
      <c r="AQ342" s="50"/>
      <c r="AR342" s="1"/>
      <c r="AS342" s="1"/>
      <c r="AT342" s="1"/>
      <c r="AU342" s="1"/>
      <c r="AV342" s="1"/>
    </row>
    <row r="343" spans="1:48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50"/>
      <c r="AQ343" s="50"/>
      <c r="AR343" s="1"/>
      <c r="AS343" s="1"/>
      <c r="AT343" s="1"/>
      <c r="AU343" s="1"/>
      <c r="AV343" s="1"/>
    </row>
    <row r="344" spans="1:48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50"/>
      <c r="AQ344" s="50"/>
      <c r="AR344" s="1"/>
      <c r="AS344" s="1"/>
      <c r="AT344" s="1"/>
      <c r="AU344" s="1"/>
      <c r="AV344" s="1"/>
    </row>
    <row r="345" spans="1:48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50"/>
      <c r="AQ345" s="50"/>
      <c r="AR345" s="1"/>
      <c r="AS345" s="1"/>
      <c r="AT345" s="1"/>
      <c r="AU345" s="1"/>
      <c r="AV345" s="1"/>
    </row>
    <row r="346" spans="1:48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50"/>
      <c r="AQ346" s="50"/>
      <c r="AR346" s="1"/>
      <c r="AS346" s="1"/>
      <c r="AT346" s="1"/>
      <c r="AU346" s="1"/>
      <c r="AV346" s="1"/>
    </row>
    <row r="347" spans="1:48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50"/>
      <c r="AQ347" s="50"/>
      <c r="AR347" s="1"/>
      <c r="AS347" s="1"/>
      <c r="AT347" s="1"/>
      <c r="AU347" s="1"/>
      <c r="AV347" s="1"/>
    </row>
    <row r="348" spans="1:48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50"/>
      <c r="AQ348" s="50"/>
      <c r="AR348" s="1"/>
      <c r="AS348" s="1"/>
      <c r="AT348" s="1"/>
      <c r="AU348" s="1"/>
      <c r="AV348" s="1"/>
    </row>
    <row r="349" spans="1:48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50"/>
      <c r="AQ349" s="50"/>
      <c r="AR349" s="1"/>
      <c r="AS349" s="1"/>
      <c r="AT349" s="1"/>
      <c r="AU349" s="1"/>
      <c r="AV349" s="1"/>
    </row>
    <row r="350" spans="1:48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50"/>
      <c r="AQ350" s="50"/>
      <c r="AR350" s="1"/>
      <c r="AS350" s="1"/>
      <c r="AT350" s="1"/>
      <c r="AU350" s="1"/>
      <c r="AV350" s="1"/>
    </row>
    <row r="351" spans="1:48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50"/>
      <c r="AQ351" s="50"/>
      <c r="AR351" s="1"/>
      <c r="AS351" s="1"/>
      <c r="AT351" s="1"/>
      <c r="AU351" s="1"/>
      <c r="AV351" s="1"/>
    </row>
    <row r="352" spans="1:48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50"/>
      <c r="AQ352" s="50"/>
      <c r="AR352" s="1"/>
      <c r="AS352" s="1"/>
      <c r="AT352" s="1"/>
      <c r="AU352" s="1"/>
      <c r="AV352" s="1"/>
    </row>
    <row r="353" spans="1:48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50"/>
      <c r="AQ353" s="50"/>
      <c r="AR353" s="1"/>
      <c r="AS353" s="1"/>
      <c r="AT353" s="1"/>
      <c r="AU353" s="1"/>
      <c r="AV353" s="1"/>
    </row>
    <row r="354" spans="1:48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50"/>
      <c r="AQ354" s="50"/>
      <c r="AR354" s="1"/>
      <c r="AS354" s="1"/>
      <c r="AT354" s="1"/>
      <c r="AU354" s="1"/>
      <c r="AV354" s="1"/>
    </row>
    <row r="355" spans="1:48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50"/>
      <c r="AQ355" s="50"/>
      <c r="AR355" s="1"/>
      <c r="AS355" s="1"/>
      <c r="AT355" s="1"/>
      <c r="AU355" s="1"/>
      <c r="AV355" s="1"/>
    </row>
    <row r="356" spans="1:48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50"/>
      <c r="AQ356" s="50"/>
      <c r="AR356" s="1"/>
      <c r="AS356" s="1"/>
      <c r="AT356" s="1"/>
      <c r="AU356" s="1"/>
      <c r="AV356" s="1"/>
    </row>
    <row r="357" spans="1:48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50"/>
      <c r="AQ357" s="50"/>
      <c r="AR357" s="1"/>
      <c r="AS357" s="1"/>
      <c r="AT357" s="1"/>
      <c r="AU357" s="1"/>
      <c r="AV357" s="1"/>
    </row>
    <row r="358" spans="1:48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50"/>
      <c r="AQ358" s="50"/>
      <c r="AR358" s="1"/>
      <c r="AS358" s="1"/>
      <c r="AT358" s="1"/>
      <c r="AU358" s="1"/>
      <c r="AV358" s="1"/>
    </row>
    <row r="359" spans="1:48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50"/>
      <c r="AQ359" s="50"/>
      <c r="AR359" s="1"/>
      <c r="AS359" s="1"/>
      <c r="AT359" s="1"/>
      <c r="AU359" s="1"/>
      <c r="AV359" s="1"/>
    </row>
    <row r="360" spans="1:48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50"/>
      <c r="AQ360" s="50"/>
      <c r="AR360" s="1"/>
      <c r="AS360" s="1"/>
      <c r="AT360" s="1"/>
      <c r="AU360" s="1"/>
      <c r="AV360" s="1"/>
    </row>
    <row r="361" spans="1:48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50"/>
      <c r="AQ361" s="50"/>
      <c r="AR361" s="1"/>
      <c r="AS361" s="1"/>
      <c r="AT361" s="1"/>
      <c r="AU361" s="1"/>
      <c r="AV361" s="1"/>
    </row>
    <row r="362" spans="1:48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50"/>
      <c r="AQ362" s="50"/>
      <c r="AR362" s="1"/>
      <c r="AS362" s="1"/>
      <c r="AT362" s="1"/>
      <c r="AU362" s="1"/>
      <c r="AV362" s="1"/>
    </row>
    <row r="363" spans="1:48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50"/>
      <c r="AQ363" s="50"/>
      <c r="AR363" s="1"/>
      <c r="AS363" s="1"/>
      <c r="AT363" s="1"/>
      <c r="AU363" s="1"/>
      <c r="AV363" s="1"/>
    </row>
    <row r="364" spans="1:48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50"/>
      <c r="AQ364" s="50"/>
      <c r="AR364" s="1"/>
      <c r="AS364" s="1"/>
      <c r="AT364" s="1"/>
      <c r="AU364" s="1"/>
      <c r="AV364" s="1"/>
    </row>
    <row r="365" spans="1:48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50"/>
      <c r="AQ365" s="50"/>
      <c r="AR365" s="1"/>
      <c r="AS365" s="1"/>
      <c r="AT365" s="1"/>
      <c r="AU365" s="1"/>
      <c r="AV365" s="1"/>
    </row>
    <row r="366" spans="1:48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50"/>
      <c r="AQ366" s="50"/>
      <c r="AR366" s="1"/>
      <c r="AS366" s="1"/>
      <c r="AT366" s="1"/>
      <c r="AU366" s="1"/>
      <c r="AV366" s="1"/>
    </row>
    <row r="367" spans="1:48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50"/>
      <c r="AQ367" s="50"/>
      <c r="AR367" s="1"/>
      <c r="AS367" s="1"/>
      <c r="AT367" s="1"/>
      <c r="AU367" s="1"/>
      <c r="AV367" s="1"/>
    </row>
    <row r="368" spans="1:48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50"/>
      <c r="AQ368" s="50"/>
      <c r="AR368" s="1"/>
      <c r="AS368" s="1"/>
      <c r="AT368" s="1"/>
      <c r="AU368" s="1"/>
      <c r="AV368" s="1"/>
    </row>
    <row r="369" spans="1:48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50"/>
      <c r="AQ369" s="50"/>
      <c r="AR369" s="1"/>
      <c r="AS369" s="1"/>
      <c r="AT369" s="1"/>
      <c r="AU369" s="1"/>
      <c r="AV369" s="1"/>
    </row>
    <row r="370" spans="1:48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50"/>
      <c r="AQ370" s="50"/>
      <c r="AR370" s="1"/>
      <c r="AS370" s="1"/>
      <c r="AT370" s="1"/>
      <c r="AU370" s="1"/>
      <c r="AV370" s="1"/>
    </row>
    <row r="371" spans="1:48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50"/>
      <c r="AQ371" s="50"/>
      <c r="AR371" s="1"/>
      <c r="AS371" s="1"/>
      <c r="AT371" s="1"/>
      <c r="AU371" s="1"/>
      <c r="AV371" s="1"/>
    </row>
    <row r="372" spans="1:48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50"/>
      <c r="AQ372" s="50"/>
      <c r="AR372" s="1"/>
      <c r="AS372" s="1"/>
      <c r="AT372" s="1"/>
      <c r="AU372" s="1"/>
      <c r="AV372" s="1"/>
    </row>
    <row r="373" spans="1:48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50"/>
      <c r="AQ373" s="50"/>
      <c r="AR373" s="1"/>
      <c r="AS373" s="1"/>
      <c r="AT373" s="1"/>
      <c r="AU373" s="1"/>
      <c r="AV373" s="1"/>
    </row>
    <row r="374" spans="1:48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50"/>
      <c r="AQ374" s="50"/>
      <c r="AR374" s="1"/>
      <c r="AS374" s="1"/>
      <c r="AT374" s="1"/>
      <c r="AU374" s="1"/>
      <c r="AV374" s="1"/>
    </row>
    <row r="375" spans="1:48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50"/>
      <c r="AQ375" s="50"/>
      <c r="AR375" s="1"/>
      <c r="AS375" s="1"/>
      <c r="AT375" s="1"/>
      <c r="AU375" s="1"/>
      <c r="AV375" s="1"/>
    </row>
    <row r="376" spans="1:48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50"/>
      <c r="AQ376" s="50"/>
      <c r="AR376" s="1"/>
      <c r="AS376" s="1"/>
      <c r="AT376" s="1"/>
      <c r="AU376" s="1"/>
      <c r="AV376" s="1"/>
    </row>
    <row r="377" spans="1:48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50"/>
      <c r="AQ377" s="50"/>
      <c r="AR377" s="1"/>
      <c r="AS377" s="1"/>
      <c r="AT377" s="1"/>
      <c r="AU377" s="1"/>
      <c r="AV377" s="1"/>
    </row>
    <row r="378" spans="1:48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50"/>
      <c r="AQ378" s="50"/>
      <c r="AR378" s="1"/>
      <c r="AS378" s="1"/>
      <c r="AT378" s="1"/>
      <c r="AU378" s="1"/>
      <c r="AV378" s="1"/>
    </row>
    <row r="379" spans="1:48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50"/>
      <c r="AQ379" s="50"/>
      <c r="AR379" s="1"/>
      <c r="AS379" s="1"/>
      <c r="AT379" s="1"/>
      <c r="AU379" s="1"/>
      <c r="AV379" s="1"/>
    </row>
    <row r="380" spans="1:48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50"/>
      <c r="AQ380" s="50"/>
      <c r="AR380" s="1"/>
      <c r="AS380" s="1"/>
      <c r="AT380" s="1"/>
      <c r="AU380" s="1"/>
      <c r="AV380" s="1"/>
    </row>
    <row r="381" spans="1:48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50"/>
      <c r="AQ381" s="50"/>
      <c r="AR381" s="1"/>
      <c r="AS381" s="1"/>
      <c r="AT381" s="1"/>
      <c r="AU381" s="1"/>
      <c r="AV381" s="1"/>
    </row>
    <row r="382" spans="1:48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50"/>
      <c r="AQ382" s="50"/>
      <c r="AR382" s="1"/>
      <c r="AS382" s="1"/>
      <c r="AT382" s="1"/>
      <c r="AU382" s="1"/>
      <c r="AV382" s="1"/>
    </row>
    <row r="383" spans="1:48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50"/>
      <c r="AQ383" s="50"/>
      <c r="AR383" s="1"/>
      <c r="AS383" s="1"/>
      <c r="AT383" s="1"/>
      <c r="AU383" s="1"/>
      <c r="AV383" s="1"/>
    </row>
    <row r="384" spans="1:48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50"/>
      <c r="AQ384" s="50"/>
      <c r="AR384" s="1"/>
      <c r="AS384" s="1"/>
      <c r="AT384" s="1"/>
      <c r="AU384" s="1"/>
      <c r="AV384" s="1"/>
    </row>
    <row r="385" spans="1:48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50"/>
      <c r="AQ385" s="50"/>
      <c r="AR385" s="1"/>
      <c r="AS385" s="1"/>
      <c r="AT385" s="1"/>
      <c r="AU385" s="1"/>
      <c r="AV385" s="1"/>
    </row>
    <row r="386" spans="1:48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50"/>
      <c r="AQ386" s="50"/>
      <c r="AR386" s="1"/>
      <c r="AS386" s="1"/>
      <c r="AT386" s="1"/>
      <c r="AU386" s="1"/>
      <c r="AV386" s="1"/>
    </row>
    <row r="387" spans="1:48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50"/>
      <c r="AQ387" s="50"/>
      <c r="AR387" s="1"/>
      <c r="AS387" s="1"/>
      <c r="AT387" s="1"/>
      <c r="AU387" s="1"/>
      <c r="AV387" s="1"/>
    </row>
    <row r="388" spans="1:48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50"/>
      <c r="AQ388" s="50"/>
      <c r="AR388" s="1"/>
      <c r="AS388" s="1"/>
      <c r="AT388" s="1"/>
      <c r="AU388" s="1"/>
      <c r="AV388" s="1"/>
    </row>
    <row r="389" spans="1:48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50"/>
      <c r="AQ389" s="50"/>
      <c r="AR389" s="1"/>
      <c r="AS389" s="1"/>
      <c r="AT389" s="1"/>
      <c r="AU389" s="1"/>
      <c r="AV389" s="1"/>
    </row>
    <row r="390" spans="1:48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50"/>
      <c r="AQ390" s="50"/>
      <c r="AR390" s="1"/>
      <c r="AS390" s="1"/>
      <c r="AT390" s="1"/>
      <c r="AU390" s="1"/>
      <c r="AV390" s="1"/>
    </row>
    <row r="391" spans="1:48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50"/>
      <c r="AQ391" s="50"/>
      <c r="AR391" s="1"/>
      <c r="AS391" s="1"/>
      <c r="AT391" s="1"/>
      <c r="AU391" s="1"/>
      <c r="AV391" s="1"/>
    </row>
    <row r="392" spans="1:48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50"/>
      <c r="AQ392" s="50"/>
      <c r="AR392" s="1"/>
      <c r="AS392" s="1"/>
      <c r="AT392" s="1"/>
      <c r="AU392" s="1"/>
      <c r="AV392" s="1"/>
    </row>
    <row r="393" spans="1:48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50"/>
      <c r="AQ393" s="50"/>
      <c r="AR393" s="1"/>
      <c r="AS393" s="1"/>
      <c r="AT393" s="1"/>
      <c r="AU393" s="1"/>
      <c r="AV393" s="1"/>
    </row>
    <row r="394" spans="1:48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50"/>
      <c r="AQ394" s="50"/>
      <c r="AR394" s="1"/>
      <c r="AS394" s="1"/>
      <c r="AT394" s="1"/>
      <c r="AU394" s="1"/>
      <c r="AV394" s="1"/>
    </row>
    <row r="395" spans="1:48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50"/>
      <c r="AQ395" s="50"/>
      <c r="AR395" s="1"/>
      <c r="AS395" s="1"/>
      <c r="AT395" s="1"/>
      <c r="AU395" s="1"/>
      <c r="AV395" s="1"/>
    </row>
    <row r="396" spans="1:48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50"/>
      <c r="AQ396" s="50"/>
      <c r="AR396" s="1"/>
      <c r="AS396" s="1"/>
      <c r="AT396" s="1"/>
      <c r="AU396" s="1"/>
      <c r="AV396" s="1"/>
    </row>
    <row r="397" spans="1:48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50"/>
      <c r="AQ397" s="50"/>
      <c r="AR397" s="1"/>
      <c r="AS397" s="1"/>
      <c r="AT397" s="1"/>
      <c r="AU397" s="1"/>
      <c r="AV397" s="1"/>
    </row>
    <row r="398" spans="1:48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50"/>
      <c r="AQ398" s="50"/>
      <c r="AR398" s="1"/>
      <c r="AS398" s="1"/>
      <c r="AT398" s="1"/>
      <c r="AU398" s="1"/>
      <c r="AV398" s="1"/>
    </row>
    <row r="399" spans="1:48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50"/>
      <c r="AQ399" s="50"/>
      <c r="AR399" s="1"/>
      <c r="AS399" s="1"/>
      <c r="AT399" s="1"/>
      <c r="AU399" s="1"/>
      <c r="AV399" s="1"/>
    </row>
    <row r="400" spans="1:48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50"/>
      <c r="AQ400" s="50"/>
      <c r="AR400" s="1"/>
      <c r="AS400" s="1"/>
      <c r="AT400" s="1"/>
      <c r="AU400" s="1"/>
      <c r="AV400" s="1"/>
    </row>
    <row r="401" spans="1:48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50"/>
      <c r="AQ401" s="50"/>
      <c r="AR401" s="1"/>
      <c r="AS401" s="1"/>
      <c r="AT401" s="1"/>
      <c r="AU401" s="1"/>
      <c r="AV401" s="1"/>
    </row>
    <row r="402" spans="1:48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50"/>
      <c r="AQ402" s="50"/>
      <c r="AR402" s="1"/>
      <c r="AS402" s="1"/>
      <c r="AT402" s="1"/>
      <c r="AU402" s="1"/>
      <c r="AV402" s="1"/>
    </row>
    <row r="403" spans="1:48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50"/>
      <c r="AQ403" s="50"/>
      <c r="AR403" s="1"/>
      <c r="AS403" s="1"/>
      <c r="AT403" s="1"/>
      <c r="AU403" s="1"/>
      <c r="AV403" s="1"/>
    </row>
    <row r="404" spans="1:48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50"/>
      <c r="AQ404" s="50"/>
      <c r="AR404" s="1"/>
      <c r="AS404" s="1"/>
      <c r="AT404" s="1"/>
      <c r="AU404" s="1"/>
      <c r="AV404" s="1"/>
    </row>
    <row r="405" spans="1:48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50"/>
      <c r="AQ405" s="50"/>
      <c r="AR405" s="1"/>
      <c r="AS405" s="1"/>
      <c r="AT405" s="1"/>
      <c r="AU405" s="1"/>
      <c r="AV405" s="1"/>
    </row>
    <row r="406" spans="1:48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50"/>
      <c r="AQ406" s="50"/>
      <c r="AR406" s="1"/>
      <c r="AS406" s="1"/>
      <c r="AT406" s="1"/>
      <c r="AU406" s="1"/>
      <c r="AV406" s="1"/>
    </row>
    <row r="407" spans="1:48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50"/>
      <c r="AQ407" s="50"/>
      <c r="AR407" s="1"/>
      <c r="AS407" s="1"/>
      <c r="AT407" s="1"/>
      <c r="AU407" s="1"/>
      <c r="AV407" s="1"/>
    </row>
    <row r="408" spans="1:48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50"/>
      <c r="AQ408" s="50"/>
      <c r="AR408" s="1"/>
      <c r="AS408" s="1"/>
      <c r="AT408" s="1"/>
      <c r="AU408" s="1"/>
      <c r="AV408" s="1"/>
    </row>
    <row r="409" spans="1:48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50"/>
      <c r="AQ409" s="50"/>
      <c r="AR409" s="1"/>
      <c r="AS409" s="1"/>
      <c r="AT409" s="1"/>
      <c r="AU409" s="1"/>
      <c r="AV409" s="1"/>
    </row>
    <row r="410" spans="1:48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50"/>
      <c r="AQ410" s="50"/>
      <c r="AR410" s="1"/>
      <c r="AS410" s="1"/>
      <c r="AT410" s="1"/>
      <c r="AU410" s="1"/>
      <c r="AV410" s="1"/>
    </row>
    <row r="411" spans="1:48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50"/>
      <c r="AQ411" s="50"/>
      <c r="AR411" s="1"/>
      <c r="AS411" s="1"/>
      <c r="AT411" s="1"/>
      <c r="AU411" s="1"/>
      <c r="AV411" s="1"/>
    </row>
    <row r="412" spans="1:48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50"/>
      <c r="AQ412" s="50"/>
      <c r="AR412" s="1"/>
      <c r="AS412" s="1"/>
      <c r="AT412" s="1"/>
      <c r="AU412" s="1"/>
      <c r="AV412" s="1"/>
    </row>
    <row r="413" spans="1:48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50"/>
      <c r="AQ413" s="50"/>
      <c r="AR413" s="1"/>
      <c r="AS413" s="1"/>
      <c r="AT413" s="1"/>
      <c r="AU413" s="1"/>
      <c r="AV413" s="1"/>
    </row>
    <row r="414" spans="1:48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50"/>
      <c r="AQ414" s="50"/>
      <c r="AR414" s="1"/>
      <c r="AS414" s="1"/>
      <c r="AT414" s="1"/>
      <c r="AU414" s="1"/>
      <c r="AV414" s="1"/>
    </row>
    <row r="415" spans="1:48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50"/>
      <c r="AQ415" s="50"/>
      <c r="AR415" s="1"/>
      <c r="AS415" s="1"/>
      <c r="AT415" s="1"/>
      <c r="AU415" s="1"/>
      <c r="AV415" s="1"/>
    </row>
    <row r="416" spans="1:48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50"/>
      <c r="AQ416" s="50"/>
      <c r="AR416" s="1"/>
      <c r="AS416" s="1"/>
      <c r="AT416" s="1"/>
      <c r="AU416" s="1"/>
      <c r="AV416" s="1"/>
    </row>
    <row r="417" spans="1:48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50"/>
      <c r="AQ417" s="50"/>
      <c r="AR417" s="1"/>
      <c r="AS417" s="1"/>
      <c r="AT417" s="1"/>
      <c r="AU417" s="1"/>
      <c r="AV417" s="1"/>
    </row>
    <row r="418" spans="1:48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50"/>
      <c r="AQ418" s="50"/>
      <c r="AR418" s="1"/>
      <c r="AS418" s="1"/>
      <c r="AT418" s="1"/>
      <c r="AU418" s="1"/>
      <c r="AV418" s="1"/>
    </row>
    <row r="419" spans="1:48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50"/>
      <c r="AQ419" s="50"/>
      <c r="AR419" s="1"/>
      <c r="AS419" s="1"/>
      <c r="AT419" s="1"/>
      <c r="AU419" s="1"/>
      <c r="AV419" s="1"/>
    </row>
    <row r="420" spans="1:48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50"/>
      <c r="AQ420" s="50"/>
      <c r="AR420" s="1"/>
      <c r="AS420" s="1"/>
      <c r="AT420" s="1"/>
      <c r="AU420" s="1"/>
      <c r="AV420" s="1"/>
    </row>
    <row r="421" spans="1:48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50"/>
      <c r="AQ421" s="50"/>
      <c r="AR421" s="1"/>
      <c r="AS421" s="1"/>
      <c r="AT421" s="1"/>
      <c r="AU421" s="1"/>
      <c r="AV421" s="1"/>
    </row>
    <row r="422" spans="1:48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50"/>
      <c r="AQ422" s="50"/>
      <c r="AR422" s="1"/>
      <c r="AS422" s="1"/>
      <c r="AT422" s="1"/>
      <c r="AU422" s="1"/>
      <c r="AV422" s="1"/>
    </row>
    <row r="423" spans="1:48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50"/>
      <c r="AQ423" s="50"/>
      <c r="AR423" s="1"/>
      <c r="AS423" s="1"/>
      <c r="AT423" s="1"/>
      <c r="AU423" s="1"/>
      <c r="AV423" s="1"/>
    </row>
    <row r="424" spans="1:48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50"/>
      <c r="AQ424" s="50"/>
      <c r="AR424" s="1"/>
      <c r="AS424" s="1"/>
      <c r="AT424" s="1"/>
      <c r="AU424" s="1"/>
      <c r="AV424" s="1"/>
    </row>
    <row r="425" spans="1:48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50"/>
      <c r="AQ425" s="50"/>
      <c r="AR425" s="1"/>
      <c r="AS425" s="1"/>
      <c r="AT425" s="1"/>
      <c r="AU425" s="1"/>
      <c r="AV425" s="1"/>
    </row>
    <row r="426" spans="1:48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50"/>
      <c r="AQ426" s="50"/>
      <c r="AR426" s="1"/>
      <c r="AS426" s="1"/>
      <c r="AT426" s="1"/>
      <c r="AU426" s="1"/>
      <c r="AV426" s="1"/>
    </row>
    <row r="427" spans="1:48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50"/>
      <c r="AQ427" s="50"/>
      <c r="AR427" s="1"/>
      <c r="AS427" s="1"/>
      <c r="AT427" s="1"/>
      <c r="AU427" s="1"/>
      <c r="AV427" s="1"/>
    </row>
    <row r="428" spans="1:48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50"/>
      <c r="AQ428" s="50"/>
      <c r="AR428" s="1"/>
      <c r="AS428" s="1"/>
      <c r="AT428" s="1"/>
      <c r="AU428" s="1"/>
      <c r="AV428" s="1"/>
    </row>
    <row r="429" spans="1:48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50"/>
      <c r="AQ429" s="50"/>
      <c r="AR429" s="1"/>
      <c r="AS429" s="1"/>
      <c r="AT429" s="1"/>
      <c r="AU429" s="1"/>
      <c r="AV429" s="1"/>
    </row>
    <row r="430" spans="1:48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50"/>
      <c r="AQ430" s="50"/>
      <c r="AR430" s="1"/>
      <c r="AS430" s="1"/>
      <c r="AT430" s="1"/>
      <c r="AU430" s="1"/>
      <c r="AV430" s="1"/>
    </row>
    <row r="431" spans="1:48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50"/>
      <c r="AQ431" s="50"/>
      <c r="AR431" s="1"/>
      <c r="AS431" s="1"/>
      <c r="AT431" s="1"/>
      <c r="AU431" s="1"/>
      <c r="AV431" s="1"/>
    </row>
    <row r="432" spans="1:48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50"/>
      <c r="AQ432" s="50"/>
      <c r="AR432" s="1"/>
      <c r="AS432" s="1"/>
      <c r="AT432" s="1"/>
      <c r="AU432" s="1"/>
      <c r="AV432" s="1"/>
    </row>
    <row r="433" spans="1:48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50"/>
      <c r="AQ433" s="50"/>
      <c r="AR433" s="1"/>
      <c r="AS433" s="1"/>
      <c r="AT433" s="1"/>
      <c r="AU433" s="1"/>
      <c r="AV433" s="1"/>
    </row>
    <row r="434" spans="1:48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50"/>
      <c r="AQ434" s="50"/>
      <c r="AR434" s="1"/>
      <c r="AS434" s="1"/>
      <c r="AT434" s="1"/>
      <c r="AU434" s="1"/>
      <c r="AV434" s="1"/>
    </row>
    <row r="435" spans="1:48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50"/>
      <c r="AQ435" s="50"/>
      <c r="AR435" s="1"/>
      <c r="AS435" s="1"/>
      <c r="AT435" s="1"/>
      <c r="AU435" s="1"/>
      <c r="AV435" s="1"/>
    </row>
    <row r="436" spans="1:48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50"/>
      <c r="AQ436" s="50"/>
      <c r="AR436" s="1"/>
      <c r="AS436" s="1"/>
      <c r="AT436" s="1"/>
      <c r="AU436" s="1"/>
      <c r="AV436" s="1"/>
    </row>
    <row r="437" spans="1:48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50"/>
      <c r="AQ437" s="50"/>
      <c r="AR437" s="1"/>
      <c r="AS437" s="1"/>
      <c r="AT437" s="1"/>
      <c r="AU437" s="1"/>
      <c r="AV437" s="1"/>
    </row>
    <row r="438" spans="1:48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50"/>
      <c r="AQ438" s="50"/>
      <c r="AR438" s="1"/>
      <c r="AS438" s="1"/>
      <c r="AT438" s="1"/>
      <c r="AU438" s="1"/>
      <c r="AV438" s="1"/>
    </row>
    <row r="439" spans="1:48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50"/>
      <c r="AQ439" s="50"/>
      <c r="AR439" s="1"/>
      <c r="AS439" s="1"/>
      <c r="AT439" s="1"/>
      <c r="AU439" s="1"/>
      <c r="AV439" s="1"/>
    </row>
    <row r="440" spans="1:48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50"/>
      <c r="AQ440" s="50"/>
      <c r="AR440" s="1"/>
      <c r="AS440" s="1"/>
      <c r="AT440" s="1"/>
      <c r="AU440" s="1"/>
      <c r="AV440" s="1"/>
    </row>
    <row r="441" spans="1:48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50"/>
      <c r="AQ441" s="50"/>
      <c r="AR441" s="1"/>
      <c r="AS441" s="1"/>
      <c r="AT441" s="1"/>
      <c r="AU441" s="1"/>
      <c r="AV441" s="1"/>
    </row>
    <row r="442" spans="1:48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50"/>
      <c r="AQ442" s="50"/>
      <c r="AR442" s="1"/>
      <c r="AS442" s="1"/>
      <c r="AT442" s="1"/>
      <c r="AU442" s="1"/>
      <c r="AV442" s="1"/>
    </row>
    <row r="443" spans="1:48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50"/>
      <c r="AQ443" s="50"/>
      <c r="AR443" s="1"/>
      <c r="AS443" s="1"/>
      <c r="AT443" s="1"/>
      <c r="AU443" s="1"/>
      <c r="AV443" s="1"/>
    </row>
    <row r="444" spans="1:48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50"/>
      <c r="AQ444" s="50"/>
      <c r="AR444" s="1"/>
      <c r="AS444" s="1"/>
      <c r="AT444" s="1"/>
      <c r="AU444" s="1"/>
      <c r="AV444" s="1"/>
    </row>
    <row r="445" spans="1:48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50"/>
      <c r="AQ445" s="50"/>
      <c r="AR445" s="1"/>
      <c r="AS445" s="1"/>
      <c r="AT445" s="1"/>
      <c r="AU445" s="1"/>
      <c r="AV445" s="1"/>
    </row>
    <row r="446" spans="1:48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50"/>
      <c r="AQ446" s="50"/>
      <c r="AR446" s="1"/>
      <c r="AS446" s="1"/>
      <c r="AT446" s="1"/>
      <c r="AU446" s="1"/>
      <c r="AV446" s="1"/>
    </row>
    <row r="447" spans="1:48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50"/>
      <c r="AQ447" s="50"/>
      <c r="AR447" s="1"/>
      <c r="AS447" s="1"/>
      <c r="AT447" s="1"/>
      <c r="AU447" s="1"/>
      <c r="AV447" s="1"/>
    </row>
    <row r="448" spans="1:48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50"/>
      <c r="AQ448" s="50"/>
      <c r="AR448" s="1"/>
      <c r="AS448" s="1"/>
      <c r="AT448" s="1"/>
      <c r="AU448" s="1"/>
      <c r="AV448" s="1"/>
    </row>
    <row r="449" spans="1:48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50"/>
      <c r="AQ449" s="50"/>
      <c r="AR449" s="1"/>
      <c r="AS449" s="1"/>
      <c r="AT449" s="1"/>
      <c r="AU449" s="1"/>
      <c r="AV449" s="1"/>
    </row>
    <row r="450" spans="1:48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50"/>
      <c r="AQ450" s="50"/>
      <c r="AR450" s="1"/>
      <c r="AS450" s="1"/>
      <c r="AT450" s="1"/>
      <c r="AU450" s="1"/>
      <c r="AV450" s="1"/>
    </row>
    <row r="451" spans="1:48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50"/>
      <c r="AQ451" s="50"/>
      <c r="AR451" s="1"/>
      <c r="AS451" s="1"/>
      <c r="AT451" s="1"/>
      <c r="AU451" s="1"/>
      <c r="AV451" s="1"/>
    </row>
    <row r="452" spans="1:48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50"/>
      <c r="AQ452" s="50"/>
      <c r="AR452" s="1"/>
      <c r="AS452" s="1"/>
      <c r="AT452" s="1"/>
      <c r="AU452" s="1"/>
      <c r="AV452" s="1"/>
    </row>
    <row r="453" spans="1:48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50"/>
      <c r="AQ453" s="50"/>
      <c r="AR453" s="1"/>
      <c r="AS453" s="1"/>
      <c r="AT453" s="1"/>
      <c r="AU453" s="1"/>
      <c r="AV453" s="1"/>
    </row>
    <row r="454" spans="1:48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50"/>
      <c r="AQ454" s="50"/>
      <c r="AR454" s="1"/>
      <c r="AS454" s="1"/>
      <c r="AT454" s="1"/>
      <c r="AU454" s="1"/>
      <c r="AV454" s="1"/>
    </row>
    <row r="455" spans="1:48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50"/>
      <c r="AQ455" s="50"/>
      <c r="AR455" s="1"/>
      <c r="AS455" s="1"/>
      <c r="AT455" s="1"/>
      <c r="AU455" s="1"/>
      <c r="AV455" s="1"/>
    </row>
    <row r="456" spans="1:48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50"/>
      <c r="AQ456" s="50"/>
      <c r="AR456" s="1"/>
      <c r="AS456" s="1"/>
      <c r="AT456" s="1"/>
      <c r="AU456" s="1"/>
      <c r="AV456" s="1"/>
    </row>
    <row r="457" spans="1:48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50"/>
      <c r="AQ457" s="50"/>
      <c r="AR457" s="1"/>
      <c r="AS457" s="1"/>
      <c r="AT457" s="1"/>
      <c r="AU457" s="1"/>
      <c r="AV457" s="1"/>
    </row>
    <row r="458" spans="1:48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50"/>
      <c r="AQ458" s="50"/>
      <c r="AR458" s="1"/>
      <c r="AS458" s="1"/>
      <c r="AT458" s="1"/>
      <c r="AU458" s="1"/>
      <c r="AV458" s="1"/>
    </row>
    <row r="459" spans="1:48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50"/>
      <c r="AQ459" s="50"/>
      <c r="AR459" s="1"/>
      <c r="AS459" s="1"/>
      <c r="AT459" s="1"/>
      <c r="AU459" s="1"/>
      <c r="AV459" s="1"/>
    </row>
    <row r="460" spans="1:48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50"/>
      <c r="AQ460" s="50"/>
      <c r="AR460" s="1"/>
      <c r="AS460" s="1"/>
      <c r="AT460" s="1"/>
      <c r="AU460" s="1"/>
      <c r="AV460" s="1"/>
    </row>
    <row r="461" spans="1:48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50"/>
      <c r="AQ461" s="50"/>
      <c r="AR461" s="1"/>
      <c r="AS461" s="1"/>
      <c r="AT461" s="1"/>
      <c r="AU461" s="1"/>
      <c r="AV461" s="1"/>
    </row>
    <row r="462" spans="1:48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50"/>
      <c r="AQ462" s="50"/>
      <c r="AR462" s="1"/>
      <c r="AS462" s="1"/>
      <c r="AT462" s="1"/>
      <c r="AU462" s="1"/>
      <c r="AV462" s="1"/>
    </row>
    <row r="463" spans="1:48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50"/>
      <c r="AQ463" s="50"/>
      <c r="AR463" s="1"/>
      <c r="AS463" s="1"/>
      <c r="AT463" s="1"/>
      <c r="AU463" s="1"/>
      <c r="AV463" s="1"/>
    </row>
    <row r="464" spans="1:48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50"/>
      <c r="AQ464" s="50"/>
      <c r="AR464" s="1"/>
      <c r="AS464" s="1"/>
      <c r="AT464" s="1"/>
      <c r="AU464" s="1"/>
      <c r="AV464" s="1"/>
    </row>
    <row r="465" spans="1:48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50"/>
      <c r="AQ465" s="50"/>
      <c r="AR465" s="1"/>
      <c r="AS465" s="1"/>
      <c r="AT465" s="1"/>
      <c r="AU465" s="1"/>
      <c r="AV465" s="1"/>
    </row>
    <row r="466" spans="1:48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50"/>
      <c r="AQ466" s="50"/>
      <c r="AR466" s="1"/>
      <c r="AS466" s="1"/>
      <c r="AT466" s="1"/>
      <c r="AU466" s="1"/>
      <c r="AV466" s="1"/>
    </row>
    <row r="467" spans="1:48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50"/>
      <c r="AQ467" s="50"/>
      <c r="AR467" s="1"/>
      <c r="AS467" s="1"/>
      <c r="AT467" s="1"/>
      <c r="AU467" s="1"/>
      <c r="AV467" s="1"/>
    </row>
    <row r="468" spans="1:48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50"/>
      <c r="AQ468" s="50"/>
      <c r="AR468" s="1"/>
      <c r="AS468" s="1"/>
      <c r="AT468" s="1"/>
      <c r="AU468" s="1"/>
      <c r="AV468" s="1"/>
    </row>
    <row r="469" spans="1:48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50"/>
      <c r="AQ469" s="50"/>
      <c r="AR469" s="1"/>
      <c r="AS469" s="1"/>
      <c r="AT469" s="1"/>
      <c r="AU469" s="1"/>
      <c r="AV469" s="1"/>
    </row>
    <row r="470" spans="1:48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50"/>
      <c r="AQ470" s="50"/>
      <c r="AR470" s="1"/>
      <c r="AS470" s="1"/>
      <c r="AT470" s="1"/>
      <c r="AU470" s="1"/>
      <c r="AV470" s="1"/>
    </row>
    <row r="471" spans="1:48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50"/>
      <c r="AQ471" s="50"/>
      <c r="AR471" s="1"/>
      <c r="AS471" s="1"/>
      <c r="AT471" s="1"/>
      <c r="AU471" s="1"/>
      <c r="AV471" s="1"/>
    </row>
    <row r="472" spans="1:48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50"/>
      <c r="AQ472" s="50"/>
      <c r="AR472" s="1"/>
      <c r="AS472" s="1"/>
      <c r="AT472" s="1"/>
      <c r="AU472" s="1"/>
      <c r="AV472" s="1"/>
    </row>
    <row r="473" spans="1:48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50"/>
      <c r="AQ473" s="50"/>
      <c r="AR473" s="1"/>
      <c r="AS473" s="1"/>
      <c r="AT473" s="1"/>
      <c r="AU473" s="1"/>
      <c r="AV473" s="1"/>
    </row>
    <row r="474" spans="1:48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50"/>
      <c r="AQ474" s="50"/>
      <c r="AR474" s="1"/>
      <c r="AS474" s="1"/>
      <c r="AT474" s="1"/>
      <c r="AU474" s="1"/>
      <c r="AV474" s="1"/>
    </row>
    <row r="475" spans="1:48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50"/>
      <c r="AQ475" s="50"/>
      <c r="AR475" s="1"/>
      <c r="AS475" s="1"/>
      <c r="AT475" s="1"/>
      <c r="AU475" s="1"/>
      <c r="AV475" s="1"/>
    </row>
    <row r="476" spans="1:48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50"/>
      <c r="AQ476" s="50"/>
      <c r="AR476" s="1"/>
      <c r="AS476" s="1"/>
      <c r="AT476" s="1"/>
      <c r="AU476" s="1"/>
      <c r="AV476" s="1"/>
    </row>
    <row r="477" spans="1:48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50"/>
      <c r="AQ477" s="50"/>
      <c r="AR477" s="1"/>
      <c r="AS477" s="1"/>
      <c r="AT477" s="1"/>
      <c r="AU477" s="1"/>
      <c r="AV477" s="1"/>
    </row>
    <row r="478" spans="1:48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50"/>
      <c r="AQ478" s="50"/>
      <c r="AR478" s="1"/>
      <c r="AS478" s="1"/>
      <c r="AT478" s="1"/>
      <c r="AU478" s="1"/>
      <c r="AV478" s="1"/>
    </row>
    <row r="479" spans="1:48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50"/>
      <c r="AQ479" s="50"/>
      <c r="AR479" s="1"/>
      <c r="AS479" s="1"/>
      <c r="AT479" s="1"/>
      <c r="AU479" s="1"/>
      <c r="AV479" s="1"/>
    </row>
    <row r="480" spans="1:48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50"/>
      <c r="AQ480" s="50"/>
      <c r="AR480" s="1"/>
      <c r="AS480" s="1"/>
      <c r="AT480" s="1"/>
      <c r="AU480" s="1"/>
      <c r="AV480" s="1"/>
    </row>
    <row r="481" spans="1:48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50"/>
      <c r="AQ481" s="50"/>
      <c r="AR481" s="1"/>
      <c r="AS481" s="1"/>
      <c r="AT481" s="1"/>
      <c r="AU481" s="1"/>
      <c r="AV481" s="1"/>
    </row>
    <row r="482" spans="1:48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50"/>
      <c r="AQ482" s="50"/>
      <c r="AR482" s="1"/>
      <c r="AS482" s="1"/>
      <c r="AT482" s="1"/>
      <c r="AU482" s="1"/>
      <c r="AV482" s="1"/>
    </row>
    <row r="483" spans="1:48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50"/>
      <c r="AQ483" s="50"/>
      <c r="AR483" s="1"/>
      <c r="AS483" s="1"/>
      <c r="AT483" s="1"/>
      <c r="AU483" s="1"/>
      <c r="AV483" s="1"/>
    </row>
    <row r="484" spans="1:48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50"/>
      <c r="AQ484" s="50"/>
      <c r="AR484" s="1"/>
      <c r="AS484" s="1"/>
      <c r="AT484" s="1"/>
      <c r="AU484" s="1"/>
      <c r="AV484" s="1"/>
    </row>
    <row r="485" spans="1:48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50"/>
      <c r="AQ485" s="50"/>
      <c r="AR485" s="1"/>
      <c r="AS485" s="1"/>
      <c r="AT485" s="1"/>
      <c r="AU485" s="1"/>
      <c r="AV485" s="1"/>
    </row>
    <row r="486" spans="1:48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50"/>
      <c r="AQ486" s="50"/>
      <c r="AR486" s="1"/>
      <c r="AS486" s="1"/>
      <c r="AT486" s="1"/>
      <c r="AU486" s="1"/>
      <c r="AV486" s="1"/>
    </row>
    <row r="487" spans="1:48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50"/>
      <c r="AQ487" s="50"/>
      <c r="AR487" s="1"/>
      <c r="AS487" s="1"/>
      <c r="AT487" s="1"/>
      <c r="AU487" s="1"/>
      <c r="AV487" s="1"/>
    </row>
    <row r="488" spans="1:48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50"/>
      <c r="AQ488" s="50"/>
      <c r="AR488" s="1"/>
      <c r="AS488" s="1"/>
      <c r="AT488" s="1"/>
      <c r="AU488" s="1"/>
      <c r="AV488" s="1"/>
    </row>
    <row r="489" spans="1:48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50"/>
      <c r="AQ489" s="50"/>
      <c r="AR489" s="1"/>
      <c r="AS489" s="1"/>
      <c r="AT489" s="1"/>
      <c r="AU489" s="1"/>
      <c r="AV489" s="1"/>
    </row>
    <row r="490" spans="1:48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50"/>
      <c r="AQ490" s="50"/>
      <c r="AR490" s="1"/>
      <c r="AS490" s="1"/>
      <c r="AT490" s="1"/>
      <c r="AU490" s="1"/>
      <c r="AV490" s="1"/>
    </row>
    <row r="491" spans="1:48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50"/>
      <c r="AQ491" s="50"/>
      <c r="AR491" s="1"/>
      <c r="AS491" s="1"/>
      <c r="AT491" s="1"/>
      <c r="AU491" s="1"/>
      <c r="AV491" s="1"/>
    </row>
    <row r="492" spans="1:48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50"/>
      <c r="AQ492" s="50"/>
      <c r="AR492" s="1"/>
      <c r="AS492" s="1"/>
      <c r="AT492" s="1"/>
      <c r="AU492" s="1"/>
      <c r="AV492" s="1"/>
    </row>
    <row r="493" spans="1:48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50"/>
      <c r="AQ493" s="50"/>
      <c r="AR493" s="1"/>
      <c r="AS493" s="1"/>
      <c r="AT493" s="1"/>
      <c r="AU493" s="1"/>
      <c r="AV493" s="1"/>
    </row>
    <row r="494" spans="1:48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50"/>
      <c r="AQ494" s="50"/>
      <c r="AR494" s="1"/>
      <c r="AS494" s="1"/>
      <c r="AT494" s="1"/>
      <c r="AU494" s="1"/>
      <c r="AV494" s="1"/>
    </row>
    <row r="495" spans="1:48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50"/>
      <c r="AQ495" s="50"/>
      <c r="AR495" s="1"/>
      <c r="AS495" s="1"/>
      <c r="AT495" s="1"/>
      <c r="AU495" s="1"/>
      <c r="AV495" s="1"/>
    </row>
    <row r="496" spans="1:48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50"/>
      <c r="AQ496" s="50"/>
      <c r="AR496" s="1"/>
      <c r="AS496" s="1"/>
      <c r="AT496" s="1"/>
      <c r="AU496" s="1"/>
      <c r="AV496" s="1"/>
    </row>
    <row r="497" spans="1:48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50"/>
      <c r="AQ497" s="50"/>
      <c r="AR497" s="1"/>
      <c r="AS497" s="1"/>
      <c r="AT497" s="1"/>
      <c r="AU497" s="1"/>
      <c r="AV497" s="1"/>
    </row>
    <row r="498" spans="1:48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50"/>
      <c r="AQ498" s="50"/>
      <c r="AR498" s="1"/>
      <c r="AS498" s="1"/>
      <c r="AT498" s="1"/>
      <c r="AU498" s="1"/>
      <c r="AV498" s="1"/>
    </row>
    <row r="499" spans="1:48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50"/>
      <c r="AQ499" s="50"/>
      <c r="AR499" s="1"/>
      <c r="AS499" s="1"/>
      <c r="AT499" s="1"/>
      <c r="AU499" s="1"/>
      <c r="AV499" s="1"/>
    </row>
    <row r="500" spans="1:48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50"/>
      <c r="AQ500" s="50"/>
      <c r="AR500" s="1"/>
      <c r="AS500" s="1"/>
      <c r="AT500" s="1"/>
      <c r="AU500" s="1"/>
      <c r="AV500" s="1"/>
    </row>
    <row r="501" spans="1:48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50"/>
      <c r="AQ501" s="50"/>
      <c r="AR501" s="1"/>
      <c r="AS501" s="1"/>
      <c r="AT501" s="1"/>
      <c r="AU501" s="1"/>
      <c r="AV501" s="1"/>
    </row>
    <row r="502" spans="1:48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50"/>
      <c r="AQ502" s="50"/>
      <c r="AR502" s="1"/>
      <c r="AS502" s="1"/>
      <c r="AT502" s="1"/>
      <c r="AU502" s="1"/>
      <c r="AV502" s="1"/>
    </row>
    <row r="503" spans="1:48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50"/>
      <c r="AQ503" s="50"/>
      <c r="AR503" s="1"/>
      <c r="AS503" s="1"/>
      <c r="AT503" s="1"/>
      <c r="AU503" s="1"/>
      <c r="AV503" s="1"/>
    </row>
    <row r="504" spans="1:48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50"/>
      <c r="AQ504" s="50"/>
      <c r="AR504" s="1"/>
      <c r="AS504" s="1"/>
      <c r="AT504" s="1"/>
      <c r="AU504" s="1"/>
      <c r="AV504" s="1"/>
    </row>
    <row r="505" spans="1:48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50"/>
      <c r="AQ505" s="50"/>
      <c r="AR505" s="1"/>
      <c r="AS505" s="1"/>
      <c r="AT505" s="1"/>
      <c r="AU505" s="1"/>
      <c r="AV505" s="1"/>
    </row>
    <row r="506" spans="1:48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50"/>
      <c r="AQ506" s="50"/>
      <c r="AR506" s="1"/>
      <c r="AS506" s="1"/>
      <c r="AT506" s="1"/>
      <c r="AU506" s="1"/>
      <c r="AV506" s="1"/>
    </row>
    <row r="507" spans="1:48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50"/>
      <c r="AQ507" s="50"/>
      <c r="AR507" s="1"/>
      <c r="AS507" s="1"/>
      <c r="AT507" s="1"/>
      <c r="AU507" s="1"/>
      <c r="AV507" s="1"/>
    </row>
    <row r="508" spans="1:48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50"/>
      <c r="AQ508" s="50"/>
      <c r="AR508" s="1"/>
      <c r="AS508" s="1"/>
      <c r="AT508" s="1"/>
      <c r="AU508" s="1"/>
      <c r="AV508" s="1"/>
    </row>
    <row r="509" spans="1:48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50"/>
      <c r="AQ509" s="50"/>
      <c r="AR509" s="1"/>
      <c r="AS509" s="1"/>
      <c r="AT509" s="1"/>
      <c r="AU509" s="1"/>
      <c r="AV509" s="1"/>
    </row>
    <row r="510" spans="1:48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50"/>
      <c r="AQ510" s="50"/>
      <c r="AR510" s="1"/>
      <c r="AS510" s="1"/>
      <c r="AT510" s="1"/>
      <c r="AU510" s="1"/>
      <c r="AV510" s="1"/>
    </row>
    <row r="511" spans="1:48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50"/>
      <c r="AQ511" s="50"/>
      <c r="AR511" s="1"/>
      <c r="AS511" s="1"/>
      <c r="AT511" s="1"/>
      <c r="AU511" s="1"/>
      <c r="AV511" s="1"/>
    </row>
    <row r="512" spans="1:48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50"/>
      <c r="AQ512" s="50"/>
      <c r="AR512" s="1"/>
      <c r="AS512" s="1"/>
      <c r="AT512" s="1"/>
      <c r="AU512" s="1"/>
      <c r="AV512" s="1"/>
    </row>
    <row r="513" spans="1:48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50"/>
      <c r="AQ513" s="50"/>
      <c r="AR513" s="1"/>
      <c r="AS513" s="1"/>
      <c r="AT513" s="1"/>
      <c r="AU513" s="1"/>
      <c r="AV513" s="1"/>
    </row>
    <row r="514" spans="1:48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50"/>
      <c r="AQ514" s="50"/>
      <c r="AR514" s="1"/>
      <c r="AS514" s="1"/>
      <c r="AT514" s="1"/>
      <c r="AU514" s="1"/>
      <c r="AV514" s="1"/>
    </row>
    <row r="515" spans="1:48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50"/>
      <c r="AQ515" s="50"/>
      <c r="AR515" s="1"/>
      <c r="AS515" s="1"/>
      <c r="AT515" s="1"/>
      <c r="AU515" s="1"/>
      <c r="AV515" s="1"/>
    </row>
    <row r="516" spans="1:48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50"/>
      <c r="AQ516" s="50"/>
      <c r="AR516" s="1"/>
      <c r="AS516" s="1"/>
      <c r="AT516" s="1"/>
      <c r="AU516" s="1"/>
      <c r="AV516" s="1"/>
    </row>
    <row r="517" spans="1:48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50"/>
      <c r="AQ517" s="50"/>
      <c r="AR517" s="1"/>
      <c r="AS517" s="1"/>
      <c r="AT517" s="1"/>
      <c r="AU517" s="1"/>
      <c r="AV517" s="1"/>
    </row>
    <row r="518" spans="1:48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50"/>
      <c r="AQ518" s="50"/>
      <c r="AR518" s="1"/>
      <c r="AS518" s="1"/>
      <c r="AT518" s="1"/>
      <c r="AU518" s="1"/>
      <c r="AV518" s="1"/>
    </row>
    <row r="519" spans="1:48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50"/>
      <c r="AQ519" s="50"/>
      <c r="AR519" s="1"/>
      <c r="AS519" s="1"/>
      <c r="AT519" s="1"/>
      <c r="AU519" s="1"/>
      <c r="AV519" s="1"/>
    </row>
    <row r="520" spans="1:48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50"/>
      <c r="AQ520" s="50"/>
      <c r="AR520" s="1"/>
      <c r="AS520" s="1"/>
      <c r="AT520" s="1"/>
      <c r="AU520" s="1"/>
      <c r="AV520" s="1"/>
    </row>
    <row r="521" spans="1:48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50"/>
      <c r="AQ521" s="50"/>
      <c r="AR521" s="1"/>
      <c r="AS521" s="1"/>
      <c r="AT521" s="1"/>
      <c r="AU521" s="1"/>
      <c r="AV521" s="1"/>
    </row>
    <row r="522" spans="1:48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50"/>
      <c r="AQ522" s="50"/>
      <c r="AR522" s="1"/>
      <c r="AS522" s="1"/>
      <c r="AT522" s="1"/>
      <c r="AU522" s="1"/>
      <c r="AV522" s="1"/>
    </row>
    <row r="523" spans="1:48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50"/>
      <c r="AQ523" s="50"/>
      <c r="AR523" s="1"/>
      <c r="AS523" s="1"/>
      <c r="AT523" s="1"/>
      <c r="AU523" s="1"/>
      <c r="AV523" s="1"/>
    </row>
    <row r="524" spans="1:48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50"/>
      <c r="AQ524" s="50"/>
      <c r="AR524" s="1"/>
      <c r="AS524" s="1"/>
      <c r="AT524" s="1"/>
      <c r="AU524" s="1"/>
      <c r="AV524" s="1"/>
    </row>
    <row r="525" spans="1:48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50"/>
      <c r="AQ525" s="50"/>
      <c r="AR525" s="1"/>
      <c r="AS525" s="1"/>
      <c r="AT525" s="1"/>
      <c r="AU525" s="1"/>
      <c r="AV525" s="1"/>
    </row>
    <row r="526" spans="1:48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50"/>
      <c r="AQ526" s="50"/>
      <c r="AR526" s="1"/>
      <c r="AS526" s="1"/>
      <c r="AT526" s="1"/>
      <c r="AU526" s="1"/>
      <c r="AV526" s="1"/>
    </row>
    <row r="527" spans="1:48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50"/>
      <c r="AQ527" s="50"/>
      <c r="AR527" s="1"/>
      <c r="AS527" s="1"/>
      <c r="AT527" s="1"/>
      <c r="AU527" s="1"/>
      <c r="AV527" s="1"/>
    </row>
    <row r="528" spans="1:48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50"/>
      <c r="AQ528" s="50"/>
      <c r="AR528" s="1"/>
      <c r="AS528" s="1"/>
      <c r="AT528" s="1"/>
      <c r="AU528" s="1"/>
      <c r="AV528" s="1"/>
    </row>
    <row r="529" spans="1:48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50"/>
      <c r="AQ529" s="50"/>
      <c r="AR529" s="1"/>
      <c r="AS529" s="1"/>
      <c r="AT529" s="1"/>
      <c r="AU529" s="1"/>
      <c r="AV529" s="1"/>
    </row>
    <row r="530" spans="1:48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50"/>
      <c r="AQ530" s="50"/>
      <c r="AR530" s="1"/>
      <c r="AS530" s="1"/>
      <c r="AT530" s="1"/>
      <c r="AU530" s="1"/>
      <c r="AV530" s="1"/>
    </row>
    <row r="531" spans="1:48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50"/>
      <c r="AQ531" s="50"/>
      <c r="AR531" s="1"/>
      <c r="AS531" s="1"/>
      <c r="AT531" s="1"/>
      <c r="AU531" s="1"/>
      <c r="AV531" s="1"/>
    </row>
    <row r="532" spans="1:48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50"/>
      <c r="AQ532" s="50"/>
      <c r="AR532" s="1"/>
      <c r="AS532" s="1"/>
      <c r="AT532" s="1"/>
      <c r="AU532" s="1"/>
      <c r="AV532" s="1"/>
    </row>
    <row r="533" spans="1:48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50"/>
      <c r="AQ533" s="50"/>
      <c r="AR533" s="1"/>
      <c r="AS533" s="1"/>
      <c r="AT533" s="1"/>
      <c r="AU533" s="1"/>
      <c r="AV533" s="1"/>
    </row>
    <row r="534" spans="1:48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50"/>
      <c r="AQ534" s="50"/>
      <c r="AR534" s="1"/>
      <c r="AS534" s="1"/>
      <c r="AT534" s="1"/>
      <c r="AU534" s="1"/>
      <c r="AV534" s="1"/>
    </row>
    <row r="535" spans="1:48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50"/>
      <c r="AQ535" s="50"/>
      <c r="AR535" s="1"/>
      <c r="AS535" s="1"/>
      <c r="AT535" s="1"/>
      <c r="AU535" s="1"/>
      <c r="AV535" s="1"/>
    </row>
    <row r="536" spans="1:48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50"/>
      <c r="AQ536" s="50"/>
      <c r="AR536" s="1"/>
      <c r="AS536" s="1"/>
      <c r="AT536" s="1"/>
      <c r="AU536" s="1"/>
      <c r="AV536" s="1"/>
    </row>
    <row r="537" spans="1:48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50"/>
      <c r="AQ537" s="50"/>
      <c r="AR537" s="1"/>
      <c r="AS537" s="1"/>
      <c r="AT537" s="1"/>
      <c r="AU537" s="1"/>
      <c r="AV537" s="1"/>
    </row>
    <row r="538" spans="1:48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50"/>
      <c r="AQ538" s="50"/>
      <c r="AR538" s="1"/>
      <c r="AS538" s="1"/>
      <c r="AT538" s="1"/>
      <c r="AU538" s="1"/>
      <c r="AV538" s="1"/>
    </row>
    <row r="539" spans="1:48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50"/>
      <c r="AQ539" s="50"/>
      <c r="AR539" s="1"/>
      <c r="AS539" s="1"/>
      <c r="AT539" s="1"/>
      <c r="AU539" s="1"/>
      <c r="AV539" s="1"/>
    </row>
    <row r="540" spans="1:48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50"/>
      <c r="AQ540" s="50"/>
      <c r="AR540" s="1"/>
      <c r="AS540" s="1"/>
      <c r="AT540" s="1"/>
      <c r="AU540" s="1"/>
      <c r="AV540" s="1"/>
    </row>
    <row r="541" spans="1:48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50"/>
      <c r="AQ541" s="50"/>
      <c r="AR541" s="1"/>
      <c r="AS541" s="1"/>
      <c r="AT541" s="1"/>
      <c r="AU541" s="1"/>
      <c r="AV541" s="1"/>
    </row>
    <row r="542" spans="1:48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50"/>
      <c r="AQ542" s="50"/>
      <c r="AR542" s="1"/>
      <c r="AS542" s="1"/>
      <c r="AT542" s="1"/>
      <c r="AU542" s="1"/>
      <c r="AV542" s="1"/>
    </row>
    <row r="543" spans="1:48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50"/>
      <c r="AQ543" s="50"/>
      <c r="AR543" s="1"/>
      <c r="AS543" s="1"/>
      <c r="AT543" s="1"/>
      <c r="AU543" s="1"/>
      <c r="AV543" s="1"/>
    </row>
    <row r="544" spans="1:48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50"/>
      <c r="AQ544" s="50"/>
      <c r="AR544" s="1"/>
      <c r="AS544" s="1"/>
      <c r="AT544" s="1"/>
      <c r="AU544" s="1"/>
      <c r="AV544" s="1"/>
    </row>
    <row r="545" spans="1:48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50"/>
      <c r="AQ545" s="50"/>
      <c r="AR545" s="1"/>
      <c r="AS545" s="1"/>
      <c r="AT545" s="1"/>
      <c r="AU545" s="1"/>
      <c r="AV545" s="1"/>
    </row>
    <row r="546" spans="1:48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50"/>
      <c r="AQ546" s="50"/>
      <c r="AR546" s="1"/>
      <c r="AS546" s="1"/>
      <c r="AT546" s="1"/>
      <c r="AU546" s="1"/>
      <c r="AV546" s="1"/>
    </row>
    <row r="547" spans="1:48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50"/>
      <c r="AQ547" s="50"/>
      <c r="AR547" s="1"/>
      <c r="AS547" s="1"/>
      <c r="AT547" s="1"/>
      <c r="AU547" s="1"/>
      <c r="AV547" s="1"/>
    </row>
    <row r="548" spans="1:48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50"/>
      <c r="AQ548" s="50"/>
      <c r="AR548" s="1"/>
      <c r="AS548" s="1"/>
      <c r="AT548" s="1"/>
      <c r="AU548" s="1"/>
      <c r="AV548" s="1"/>
    </row>
    <row r="549" spans="1:48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50"/>
      <c r="AQ549" s="50"/>
      <c r="AR549" s="1"/>
      <c r="AS549" s="1"/>
      <c r="AT549" s="1"/>
      <c r="AU549" s="1"/>
      <c r="AV549" s="1"/>
    </row>
    <row r="550" spans="1:48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50"/>
      <c r="AQ550" s="50"/>
      <c r="AR550" s="1"/>
      <c r="AS550" s="1"/>
      <c r="AT550" s="1"/>
      <c r="AU550" s="1"/>
      <c r="AV550" s="1"/>
    </row>
    <row r="551" spans="1:48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50"/>
      <c r="AQ551" s="50"/>
      <c r="AR551" s="1"/>
      <c r="AS551" s="1"/>
      <c r="AT551" s="1"/>
      <c r="AU551" s="1"/>
      <c r="AV551" s="1"/>
    </row>
    <row r="552" spans="1:48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50"/>
      <c r="AQ552" s="50"/>
      <c r="AR552" s="1"/>
      <c r="AS552" s="1"/>
      <c r="AT552" s="1"/>
      <c r="AU552" s="1"/>
      <c r="AV552" s="1"/>
    </row>
    <row r="553" spans="1:48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50"/>
      <c r="AQ553" s="50"/>
      <c r="AR553" s="1"/>
      <c r="AS553" s="1"/>
      <c r="AT553" s="1"/>
      <c r="AU553" s="1"/>
      <c r="AV553" s="1"/>
    </row>
    <row r="554" spans="1:48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50"/>
      <c r="AQ554" s="50"/>
      <c r="AR554" s="1"/>
      <c r="AS554" s="1"/>
      <c r="AT554" s="1"/>
      <c r="AU554" s="1"/>
      <c r="AV554" s="1"/>
    </row>
    <row r="555" spans="1:48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50"/>
      <c r="AQ555" s="50"/>
      <c r="AR555" s="1"/>
      <c r="AS555" s="1"/>
      <c r="AT555" s="1"/>
      <c r="AU555" s="1"/>
      <c r="AV555" s="1"/>
    </row>
    <row r="556" spans="1:48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50"/>
      <c r="AQ556" s="50"/>
      <c r="AR556" s="1"/>
      <c r="AS556" s="1"/>
      <c r="AT556" s="1"/>
      <c r="AU556" s="1"/>
      <c r="AV556" s="1"/>
    </row>
    <row r="557" spans="1:48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50"/>
      <c r="AQ557" s="50"/>
      <c r="AR557" s="1"/>
      <c r="AS557" s="1"/>
      <c r="AT557" s="1"/>
      <c r="AU557" s="1"/>
      <c r="AV557" s="1"/>
    </row>
    <row r="558" spans="1:48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50"/>
      <c r="AQ558" s="50"/>
      <c r="AR558" s="1"/>
      <c r="AS558" s="1"/>
      <c r="AT558" s="1"/>
      <c r="AU558" s="1"/>
      <c r="AV558" s="1"/>
    </row>
    <row r="559" spans="1:48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50"/>
      <c r="AQ559" s="50"/>
      <c r="AR559" s="1"/>
      <c r="AS559" s="1"/>
      <c r="AT559" s="1"/>
      <c r="AU559" s="1"/>
      <c r="AV559" s="1"/>
    </row>
    <row r="560" spans="1:48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50"/>
      <c r="AQ560" s="50"/>
      <c r="AR560" s="1"/>
      <c r="AS560" s="1"/>
      <c r="AT560" s="1"/>
      <c r="AU560" s="1"/>
      <c r="AV560" s="1"/>
    </row>
    <row r="561" spans="1:48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50"/>
      <c r="AQ561" s="50"/>
      <c r="AR561" s="1"/>
      <c r="AS561" s="1"/>
      <c r="AT561" s="1"/>
      <c r="AU561" s="1"/>
      <c r="AV561" s="1"/>
    </row>
    <row r="562" spans="1:48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50"/>
      <c r="AQ562" s="50"/>
      <c r="AR562" s="1"/>
      <c r="AS562" s="1"/>
      <c r="AT562" s="1"/>
      <c r="AU562" s="1"/>
      <c r="AV562" s="1"/>
    </row>
    <row r="563" spans="1:48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50"/>
      <c r="AQ563" s="50"/>
      <c r="AR563" s="1"/>
      <c r="AS563" s="1"/>
      <c r="AT563" s="1"/>
      <c r="AU563" s="1"/>
      <c r="AV563" s="1"/>
    </row>
    <row r="564" spans="1:48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50"/>
      <c r="AQ564" s="50"/>
      <c r="AR564" s="1"/>
      <c r="AS564" s="1"/>
      <c r="AT564" s="1"/>
      <c r="AU564" s="1"/>
      <c r="AV564" s="1"/>
    </row>
    <row r="565" spans="1:48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50"/>
      <c r="AQ565" s="50"/>
      <c r="AR565" s="1"/>
      <c r="AS565" s="1"/>
      <c r="AT565" s="1"/>
      <c r="AU565" s="1"/>
      <c r="AV565" s="1"/>
    </row>
    <row r="566" spans="1:48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50"/>
      <c r="AQ566" s="50"/>
      <c r="AR566" s="1"/>
      <c r="AS566" s="1"/>
      <c r="AT566" s="1"/>
      <c r="AU566" s="1"/>
      <c r="AV566" s="1"/>
    </row>
    <row r="567" spans="1:48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50"/>
      <c r="AQ567" s="50"/>
      <c r="AR567" s="1"/>
      <c r="AS567" s="1"/>
      <c r="AT567" s="1"/>
      <c r="AU567" s="1"/>
      <c r="AV567" s="1"/>
    </row>
    <row r="568" spans="1:48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50"/>
      <c r="AQ568" s="50"/>
      <c r="AR568" s="1"/>
      <c r="AS568" s="1"/>
      <c r="AT568" s="1"/>
      <c r="AU568" s="1"/>
      <c r="AV568" s="1"/>
    </row>
    <row r="569" spans="1:48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50"/>
      <c r="AQ569" s="50"/>
      <c r="AR569" s="1"/>
      <c r="AS569" s="1"/>
      <c r="AT569" s="1"/>
      <c r="AU569" s="1"/>
      <c r="AV569" s="1"/>
    </row>
    <row r="570" spans="1:48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50"/>
      <c r="AQ570" s="50"/>
      <c r="AR570" s="1"/>
      <c r="AS570" s="1"/>
      <c r="AT570" s="1"/>
      <c r="AU570" s="1"/>
      <c r="AV570" s="1"/>
    </row>
    <row r="571" spans="1:48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50"/>
      <c r="AQ571" s="50"/>
      <c r="AR571" s="1"/>
      <c r="AS571" s="1"/>
      <c r="AT571" s="1"/>
      <c r="AU571" s="1"/>
      <c r="AV571" s="1"/>
    </row>
    <row r="572" spans="1:48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50"/>
      <c r="AQ572" s="50"/>
      <c r="AR572" s="1"/>
      <c r="AS572" s="1"/>
      <c r="AT572" s="1"/>
      <c r="AU572" s="1"/>
      <c r="AV572" s="1"/>
    </row>
    <row r="573" spans="1:48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50"/>
      <c r="AQ573" s="50"/>
      <c r="AR573" s="1"/>
      <c r="AS573" s="1"/>
      <c r="AT573" s="1"/>
      <c r="AU573" s="1"/>
      <c r="AV573" s="1"/>
    </row>
    <row r="574" spans="1:48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50"/>
      <c r="AQ574" s="50"/>
      <c r="AR574" s="1"/>
      <c r="AS574" s="1"/>
      <c r="AT574" s="1"/>
      <c r="AU574" s="1"/>
      <c r="AV574" s="1"/>
    </row>
    <row r="575" spans="1:48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50"/>
      <c r="AQ575" s="50"/>
      <c r="AR575" s="1"/>
      <c r="AS575" s="1"/>
      <c r="AT575" s="1"/>
      <c r="AU575" s="1"/>
      <c r="AV575" s="1"/>
    </row>
    <row r="576" spans="1:48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50"/>
      <c r="AQ576" s="50"/>
      <c r="AR576" s="1"/>
      <c r="AS576" s="1"/>
      <c r="AT576" s="1"/>
      <c r="AU576" s="1"/>
      <c r="AV576" s="1"/>
    </row>
    <row r="577" spans="1:48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50"/>
      <c r="AQ577" s="50"/>
      <c r="AR577" s="1"/>
      <c r="AS577" s="1"/>
      <c r="AT577" s="1"/>
      <c r="AU577" s="1"/>
      <c r="AV577" s="1"/>
    </row>
    <row r="578" spans="1:48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50"/>
      <c r="AQ578" s="50"/>
      <c r="AR578" s="1"/>
      <c r="AS578" s="1"/>
      <c r="AT578" s="1"/>
      <c r="AU578" s="1"/>
      <c r="AV578" s="1"/>
    </row>
    <row r="579" spans="1:48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50"/>
      <c r="AQ579" s="50"/>
      <c r="AR579" s="1"/>
      <c r="AS579" s="1"/>
      <c r="AT579" s="1"/>
      <c r="AU579" s="1"/>
      <c r="AV579" s="1"/>
    </row>
    <row r="580" spans="1:48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50"/>
      <c r="AQ580" s="50"/>
      <c r="AR580" s="1"/>
      <c r="AS580" s="1"/>
      <c r="AT580" s="1"/>
      <c r="AU580" s="1"/>
      <c r="AV580" s="1"/>
    </row>
    <row r="581" spans="1:48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50"/>
      <c r="AQ581" s="50"/>
      <c r="AR581" s="1"/>
      <c r="AS581" s="1"/>
      <c r="AT581" s="1"/>
      <c r="AU581" s="1"/>
      <c r="AV581" s="1"/>
    </row>
    <row r="582" spans="1:48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50"/>
      <c r="AQ582" s="50"/>
      <c r="AR582" s="1"/>
      <c r="AS582" s="1"/>
      <c r="AT582" s="1"/>
      <c r="AU582" s="1"/>
      <c r="AV582" s="1"/>
    </row>
    <row r="583" spans="1:48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50"/>
      <c r="AQ583" s="50"/>
      <c r="AR583" s="1"/>
      <c r="AS583" s="1"/>
      <c r="AT583" s="1"/>
      <c r="AU583" s="1"/>
      <c r="AV583" s="1"/>
    </row>
    <row r="584" spans="1:48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50"/>
      <c r="AQ584" s="50"/>
      <c r="AR584" s="1"/>
      <c r="AS584" s="1"/>
      <c r="AT584" s="1"/>
      <c r="AU584" s="1"/>
      <c r="AV584" s="1"/>
    </row>
    <row r="585" spans="1:48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50"/>
      <c r="AQ585" s="50"/>
      <c r="AR585" s="1"/>
      <c r="AS585" s="1"/>
      <c r="AT585" s="1"/>
      <c r="AU585" s="1"/>
      <c r="AV585" s="1"/>
    </row>
    <row r="586" spans="1:48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50"/>
      <c r="AQ586" s="50"/>
      <c r="AR586" s="1"/>
      <c r="AS586" s="1"/>
      <c r="AT586" s="1"/>
      <c r="AU586" s="1"/>
      <c r="AV586" s="1"/>
    </row>
    <row r="587" spans="1:48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50"/>
      <c r="AQ587" s="50"/>
      <c r="AR587" s="1"/>
      <c r="AS587" s="1"/>
      <c r="AT587" s="1"/>
      <c r="AU587" s="1"/>
      <c r="AV587" s="1"/>
    </row>
    <row r="588" spans="1:48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50"/>
      <c r="AQ588" s="50"/>
      <c r="AR588" s="1"/>
      <c r="AS588" s="1"/>
      <c r="AT588" s="1"/>
      <c r="AU588" s="1"/>
      <c r="AV588" s="1"/>
    </row>
    <row r="589" spans="1:48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50"/>
      <c r="AQ589" s="50"/>
      <c r="AR589" s="1"/>
      <c r="AS589" s="1"/>
      <c r="AT589" s="1"/>
      <c r="AU589" s="1"/>
      <c r="AV589" s="1"/>
    </row>
    <row r="590" spans="1:48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50"/>
      <c r="AQ590" s="50"/>
      <c r="AR590" s="1"/>
      <c r="AS590" s="1"/>
      <c r="AT590" s="1"/>
      <c r="AU590" s="1"/>
      <c r="AV590" s="1"/>
    </row>
    <row r="591" spans="1:48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50"/>
      <c r="AQ591" s="50"/>
      <c r="AR591" s="1"/>
      <c r="AS591" s="1"/>
      <c r="AT591" s="1"/>
      <c r="AU591" s="1"/>
      <c r="AV591" s="1"/>
    </row>
    <row r="592" spans="1:48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50"/>
      <c r="AQ592" s="50"/>
      <c r="AR592" s="1"/>
      <c r="AS592" s="1"/>
      <c r="AT592" s="1"/>
      <c r="AU592" s="1"/>
      <c r="AV592" s="1"/>
    </row>
    <row r="593" spans="1:48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50"/>
      <c r="AQ593" s="50"/>
      <c r="AR593" s="1"/>
      <c r="AS593" s="1"/>
      <c r="AT593" s="1"/>
      <c r="AU593" s="1"/>
      <c r="AV593" s="1"/>
    </row>
    <row r="594" spans="1:48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50"/>
      <c r="AQ594" s="50"/>
      <c r="AR594" s="1"/>
      <c r="AS594" s="1"/>
      <c r="AT594" s="1"/>
      <c r="AU594" s="1"/>
      <c r="AV594" s="1"/>
    </row>
    <row r="595" spans="1:48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50"/>
      <c r="AQ595" s="50"/>
      <c r="AR595" s="1"/>
      <c r="AS595" s="1"/>
      <c r="AT595" s="1"/>
      <c r="AU595" s="1"/>
      <c r="AV595" s="1"/>
    </row>
    <row r="596" spans="1:48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50"/>
      <c r="AQ596" s="50"/>
      <c r="AR596" s="1"/>
      <c r="AS596" s="1"/>
      <c r="AT596" s="1"/>
      <c r="AU596" s="1"/>
      <c r="AV596" s="1"/>
    </row>
    <row r="597" spans="1:48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50"/>
      <c r="AQ597" s="50"/>
      <c r="AR597" s="1"/>
      <c r="AS597" s="1"/>
      <c r="AT597" s="1"/>
      <c r="AU597" s="1"/>
      <c r="AV597" s="1"/>
    </row>
    <row r="598" spans="1:48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50"/>
      <c r="AQ598" s="50"/>
      <c r="AR598" s="1"/>
      <c r="AS598" s="1"/>
      <c r="AT598" s="1"/>
      <c r="AU598" s="1"/>
      <c r="AV598" s="1"/>
    </row>
    <row r="599" spans="1:48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50"/>
      <c r="AQ599" s="50"/>
      <c r="AR599" s="1"/>
      <c r="AS599" s="1"/>
      <c r="AT599" s="1"/>
      <c r="AU599" s="1"/>
      <c r="AV599" s="1"/>
    </row>
    <row r="600" spans="1:48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50"/>
      <c r="AQ600" s="50"/>
      <c r="AR600" s="1"/>
      <c r="AS600" s="1"/>
      <c r="AT600" s="1"/>
      <c r="AU600" s="1"/>
      <c r="AV600" s="1"/>
    </row>
    <row r="601" spans="1:48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50"/>
      <c r="AQ601" s="50"/>
      <c r="AR601" s="1"/>
      <c r="AS601" s="1"/>
      <c r="AT601" s="1"/>
      <c r="AU601" s="1"/>
      <c r="AV601" s="1"/>
    </row>
    <row r="602" spans="1:48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50"/>
      <c r="AQ602" s="50"/>
      <c r="AR602" s="1"/>
      <c r="AS602" s="1"/>
      <c r="AT602" s="1"/>
      <c r="AU602" s="1"/>
      <c r="AV602" s="1"/>
    </row>
    <row r="603" spans="1:48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50"/>
      <c r="AQ603" s="50"/>
      <c r="AR603" s="1"/>
      <c r="AS603" s="1"/>
      <c r="AT603" s="1"/>
      <c r="AU603" s="1"/>
      <c r="AV603" s="1"/>
    </row>
    <row r="604" spans="1:48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50"/>
      <c r="AQ604" s="50"/>
      <c r="AR604" s="1"/>
      <c r="AS604" s="1"/>
      <c r="AT604" s="1"/>
      <c r="AU604" s="1"/>
      <c r="AV604" s="1"/>
    </row>
    <row r="605" spans="1:48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50"/>
      <c r="AQ605" s="50"/>
      <c r="AR605" s="1"/>
      <c r="AS605" s="1"/>
      <c r="AT605" s="1"/>
      <c r="AU605" s="1"/>
      <c r="AV605" s="1"/>
    </row>
    <row r="606" spans="1:48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50"/>
      <c r="AQ606" s="50"/>
      <c r="AR606" s="1"/>
      <c r="AS606" s="1"/>
      <c r="AT606" s="1"/>
      <c r="AU606" s="1"/>
      <c r="AV606" s="1"/>
    </row>
    <row r="607" spans="1:48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50"/>
      <c r="AQ607" s="50"/>
      <c r="AR607" s="1"/>
      <c r="AS607" s="1"/>
      <c r="AT607" s="1"/>
      <c r="AU607" s="1"/>
      <c r="AV607" s="1"/>
    </row>
    <row r="608" spans="1:48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50"/>
      <c r="AQ608" s="50"/>
      <c r="AR608" s="1"/>
      <c r="AS608" s="1"/>
      <c r="AT608" s="1"/>
      <c r="AU608" s="1"/>
      <c r="AV608" s="1"/>
    </row>
    <row r="609" spans="1:48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50"/>
      <c r="AQ609" s="50"/>
      <c r="AR609" s="1"/>
      <c r="AS609" s="1"/>
      <c r="AT609" s="1"/>
      <c r="AU609" s="1"/>
      <c r="AV609" s="1"/>
    </row>
    <row r="610" spans="1:48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50"/>
      <c r="AQ610" s="50"/>
      <c r="AR610" s="1"/>
      <c r="AS610" s="1"/>
      <c r="AT610" s="1"/>
      <c r="AU610" s="1"/>
      <c r="AV610" s="1"/>
    </row>
    <row r="611" spans="1:48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50"/>
      <c r="AQ611" s="50"/>
      <c r="AR611" s="1"/>
      <c r="AS611" s="1"/>
      <c r="AT611" s="1"/>
      <c r="AU611" s="1"/>
      <c r="AV611" s="1"/>
    </row>
    <row r="612" spans="1:48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50"/>
      <c r="AQ612" s="50"/>
      <c r="AR612" s="1"/>
      <c r="AS612" s="1"/>
      <c r="AT612" s="1"/>
      <c r="AU612" s="1"/>
      <c r="AV612" s="1"/>
    </row>
    <row r="613" spans="1:48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50"/>
      <c r="AQ613" s="50"/>
      <c r="AR613" s="1"/>
      <c r="AS613" s="1"/>
      <c r="AT613" s="1"/>
      <c r="AU613" s="1"/>
      <c r="AV613" s="1"/>
    </row>
    <row r="614" spans="1:48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50"/>
      <c r="AQ614" s="50"/>
      <c r="AR614" s="1"/>
      <c r="AS614" s="1"/>
      <c r="AT614" s="1"/>
      <c r="AU614" s="1"/>
      <c r="AV614" s="1"/>
    </row>
    <row r="615" spans="1:48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50"/>
      <c r="AQ615" s="50"/>
      <c r="AR615" s="1"/>
      <c r="AS615" s="1"/>
      <c r="AT615" s="1"/>
      <c r="AU615" s="1"/>
      <c r="AV615" s="1"/>
    </row>
    <row r="616" spans="1:48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50"/>
      <c r="AQ616" s="50"/>
      <c r="AR616" s="1"/>
      <c r="AS616" s="1"/>
      <c r="AT616" s="1"/>
      <c r="AU616" s="1"/>
      <c r="AV616" s="1"/>
    </row>
    <row r="617" spans="1:48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50"/>
      <c r="AQ617" s="50"/>
      <c r="AR617" s="1"/>
      <c r="AS617" s="1"/>
      <c r="AT617" s="1"/>
      <c r="AU617" s="1"/>
      <c r="AV617" s="1"/>
    </row>
    <row r="618" spans="1:48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50"/>
      <c r="AQ618" s="50"/>
      <c r="AR618" s="1"/>
      <c r="AS618" s="1"/>
      <c r="AT618" s="1"/>
      <c r="AU618" s="1"/>
      <c r="AV618" s="1"/>
    </row>
    <row r="619" spans="1:48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50"/>
      <c r="AQ619" s="50"/>
      <c r="AR619" s="1"/>
      <c r="AS619" s="1"/>
      <c r="AT619" s="1"/>
      <c r="AU619" s="1"/>
      <c r="AV619" s="1"/>
    </row>
    <row r="620" spans="1:48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50"/>
      <c r="AQ620" s="50"/>
      <c r="AR620" s="1"/>
      <c r="AS620" s="1"/>
      <c r="AT620" s="1"/>
      <c r="AU620" s="1"/>
      <c r="AV620" s="1"/>
    </row>
    <row r="621" spans="1:48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50"/>
      <c r="AQ621" s="50"/>
      <c r="AR621" s="1"/>
      <c r="AS621" s="1"/>
      <c r="AT621" s="1"/>
      <c r="AU621" s="1"/>
      <c r="AV621" s="1"/>
    </row>
    <row r="622" spans="1:48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50"/>
      <c r="AQ622" s="50"/>
      <c r="AR622" s="1"/>
      <c r="AS622" s="1"/>
      <c r="AT622" s="1"/>
      <c r="AU622" s="1"/>
      <c r="AV622" s="1"/>
    </row>
    <row r="623" spans="1:48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50"/>
      <c r="AQ623" s="50"/>
      <c r="AR623" s="1"/>
      <c r="AS623" s="1"/>
      <c r="AT623" s="1"/>
      <c r="AU623" s="1"/>
      <c r="AV623" s="1"/>
    </row>
    <row r="624" spans="1:48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50"/>
      <c r="AQ624" s="50"/>
      <c r="AR624" s="1"/>
      <c r="AS624" s="1"/>
      <c r="AT624" s="1"/>
      <c r="AU624" s="1"/>
      <c r="AV624" s="1"/>
    </row>
    <row r="625" spans="1:48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50"/>
      <c r="AQ625" s="50"/>
      <c r="AR625" s="1"/>
      <c r="AS625" s="1"/>
      <c r="AT625" s="1"/>
      <c r="AU625" s="1"/>
      <c r="AV625" s="1"/>
    </row>
    <row r="626" spans="1:48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50"/>
      <c r="AQ626" s="50"/>
      <c r="AR626" s="1"/>
      <c r="AS626" s="1"/>
      <c r="AT626" s="1"/>
      <c r="AU626" s="1"/>
      <c r="AV626" s="1"/>
    </row>
    <row r="627" spans="1:48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50"/>
      <c r="AQ627" s="50"/>
      <c r="AR627" s="1"/>
      <c r="AS627" s="1"/>
      <c r="AT627" s="1"/>
      <c r="AU627" s="1"/>
      <c r="AV627" s="1"/>
    </row>
    <row r="628" spans="1:48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50"/>
      <c r="AQ628" s="50"/>
      <c r="AR628" s="1"/>
      <c r="AS628" s="1"/>
      <c r="AT628" s="1"/>
      <c r="AU628" s="1"/>
      <c r="AV628" s="1"/>
    </row>
    <row r="629" spans="1:48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50"/>
      <c r="AQ629" s="50"/>
      <c r="AR629" s="1"/>
      <c r="AS629" s="1"/>
      <c r="AT629" s="1"/>
      <c r="AU629" s="1"/>
      <c r="AV629" s="1"/>
    </row>
    <row r="630" spans="1:48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50"/>
      <c r="AQ630" s="50"/>
      <c r="AR630" s="1"/>
      <c r="AS630" s="1"/>
      <c r="AT630" s="1"/>
      <c r="AU630" s="1"/>
      <c r="AV630" s="1"/>
    </row>
    <row r="631" spans="1:48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50"/>
      <c r="AQ631" s="50"/>
      <c r="AR631" s="1"/>
      <c r="AS631" s="1"/>
      <c r="AT631" s="1"/>
      <c r="AU631" s="1"/>
      <c r="AV631" s="1"/>
    </row>
    <row r="632" spans="1:48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50"/>
      <c r="AQ632" s="50"/>
      <c r="AR632" s="1"/>
      <c r="AS632" s="1"/>
      <c r="AT632" s="1"/>
      <c r="AU632" s="1"/>
      <c r="AV632" s="1"/>
    </row>
    <row r="633" spans="1:48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50"/>
      <c r="AQ633" s="50"/>
      <c r="AR633" s="1"/>
      <c r="AS633" s="1"/>
      <c r="AT633" s="1"/>
      <c r="AU633" s="1"/>
      <c r="AV633" s="1"/>
    </row>
    <row r="634" spans="1:48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50"/>
      <c r="AQ634" s="50"/>
      <c r="AR634" s="1"/>
      <c r="AS634" s="1"/>
      <c r="AT634" s="1"/>
      <c r="AU634" s="1"/>
      <c r="AV634" s="1"/>
    </row>
    <row r="635" spans="1:48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50"/>
      <c r="AQ635" s="50"/>
      <c r="AR635" s="1"/>
      <c r="AS635" s="1"/>
      <c r="AT635" s="1"/>
      <c r="AU635" s="1"/>
      <c r="AV635" s="1"/>
    </row>
    <row r="636" spans="1:48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50"/>
      <c r="AQ636" s="50"/>
      <c r="AR636" s="1"/>
      <c r="AS636" s="1"/>
      <c r="AT636" s="1"/>
      <c r="AU636" s="1"/>
      <c r="AV636" s="1"/>
    </row>
    <row r="637" spans="1:48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50"/>
      <c r="AQ637" s="50"/>
      <c r="AR637" s="1"/>
      <c r="AS637" s="1"/>
      <c r="AT637" s="1"/>
      <c r="AU637" s="1"/>
      <c r="AV637" s="1"/>
    </row>
    <row r="638" spans="1:48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50"/>
      <c r="AQ638" s="50"/>
      <c r="AR638" s="1"/>
      <c r="AS638" s="1"/>
      <c r="AT638" s="1"/>
      <c r="AU638" s="1"/>
      <c r="AV638" s="1"/>
    </row>
    <row r="639" spans="1:48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50"/>
      <c r="AQ639" s="50"/>
      <c r="AR639" s="1"/>
      <c r="AS639" s="1"/>
      <c r="AT639" s="1"/>
      <c r="AU639" s="1"/>
      <c r="AV639" s="1"/>
    </row>
    <row r="640" spans="1:48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50"/>
      <c r="AQ640" s="50"/>
      <c r="AR640" s="1"/>
      <c r="AS640" s="1"/>
      <c r="AT640" s="1"/>
      <c r="AU640" s="1"/>
      <c r="AV640" s="1"/>
    </row>
    <row r="641" spans="1:48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50"/>
      <c r="AQ641" s="50"/>
      <c r="AR641" s="1"/>
      <c r="AS641" s="1"/>
      <c r="AT641" s="1"/>
      <c r="AU641" s="1"/>
      <c r="AV641" s="1"/>
    </row>
    <row r="642" spans="1:48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50"/>
      <c r="AQ642" s="50"/>
      <c r="AR642" s="1"/>
      <c r="AS642" s="1"/>
      <c r="AT642" s="1"/>
      <c r="AU642" s="1"/>
      <c r="AV642" s="1"/>
    </row>
    <row r="643" spans="1:48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50"/>
      <c r="AQ643" s="50"/>
      <c r="AR643" s="1"/>
      <c r="AS643" s="1"/>
      <c r="AT643" s="1"/>
      <c r="AU643" s="1"/>
      <c r="AV643" s="1"/>
    </row>
    <row r="644" spans="1:48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50"/>
      <c r="AQ644" s="50"/>
      <c r="AR644" s="1"/>
      <c r="AS644" s="1"/>
      <c r="AT644" s="1"/>
      <c r="AU644" s="1"/>
      <c r="AV644" s="1"/>
    </row>
    <row r="645" spans="1:48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50"/>
      <c r="AQ645" s="50"/>
      <c r="AR645" s="1"/>
      <c r="AS645" s="1"/>
      <c r="AT645" s="1"/>
      <c r="AU645" s="1"/>
      <c r="AV645" s="1"/>
    </row>
    <row r="646" spans="1:48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50"/>
      <c r="AQ646" s="50"/>
      <c r="AR646" s="1"/>
      <c r="AS646" s="1"/>
      <c r="AT646" s="1"/>
      <c r="AU646" s="1"/>
      <c r="AV646" s="1"/>
    </row>
    <row r="647" spans="1:48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50"/>
      <c r="AQ647" s="50"/>
      <c r="AR647" s="1"/>
      <c r="AS647" s="1"/>
      <c r="AT647" s="1"/>
      <c r="AU647" s="1"/>
      <c r="AV647" s="1"/>
    </row>
    <row r="648" spans="1:48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50"/>
      <c r="AQ648" s="50"/>
      <c r="AR648" s="1"/>
      <c r="AS648" s="1"/>
      <c r="AT648" s="1"/>
      <c r="AU648" s="1"/>
      <c r="AV648" s="1"/>
    </row>
    <row r="649" spans="1:48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50"/>
      <c r="AQ649" s="50"/>
      <c r="AR649" s="1"/>
      <c r="AS649" s="1"/>
      <c r="AT649" s="1"/>
      <c r="AU649" s="1"/>
      <c r="AV649" s="1"/>
    </row>
    <row r="650" spans="1:48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50"/>
      <c r="AQ650" s="50"/>
      <c r="AR650" s="1"/>
      <c r="AS650" s="1"/>
      <c r="AT650" s="1"/>
      <c r="AU650" s="1"/>
      <c r="AV650" s="1"/>
    </row>
    <row r="651" spans="1:48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50"/>
      <c r="AQ651" s="50"/>
      <c r="AR651" s="1"/>
      <c r="AS651" s="1"/>
      <c r="AT651" s="1"/>
      <c r="AU651" s="1"/>
      <c r="AV651" s="1"/>
    </row>
    <row r="652" spans="1:48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50"/>
      <c r="AQ652" s="50"/>
      <c r="AR652" s="1"/>
      <c r="AS652" s="1"/>
      <c r="AT652" s="1"/>
      <c r="AU652" s="1"/>
      <c r="AV652" s="1"/>
    </row>
    <row r="653" spans="1:48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50"/>
      <c r="AQ653" s="50"/>
      <c r="AR653" s="1"/>
      <c r="AS653" s="1"/>
      <c r="AT653" s="1"/>
      <c r="AU653" s="1"/>
      <c r="AV653" s="1"/>
    </row>
    <row r="654" spans="1:48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50"/>
      <c r="AQ654" s="50"/>
      <c r="AR654" s="1"/>
      <c r="AS654" s="1"/>
      <c r="AT654" s="1"/>
      <c r="AU654" s="1"/>
      <c r="AV654" s="1"/>
    </row>
    <row r="655" spans="1:48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50"/>
      <c r="AQ655" s="50"/>
      <c r="AR655" s="1"/>
      <c r="AS655" s="1"/>
      <c r="AT655" s="1"/>
      <c r="AU655" s="1"/>
      <c r="AV655" s="1"/>
    </row>
    <row r="656" spans="1:48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50"/>
      <c r="AQ656" s="50"/>
      <c r="AR656" s="1"/>
      <c r="AS656" s="1"/>
      <c r="AT656" s="1"/>
      <c r="AU656" s="1"/>
      <c r="AV656" s="1"/>
    </row>
    <row r="657" spans="1:48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50"/>
      <c r="AQ657" s="50"/>
      <c r="AR657" s="1"/>
      <c r="AS657" s="1"/>
      <c r="AT657" s="1"/>
      <c r="AU657" s="1"/>
      <c r="AV657" s="1"/>
    </row>
    <row r="658" spans="1:48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50"/>
      <c r="AQ658" s="50"/>
      <c r="AR658" s="1"/>
      <c r="AS658" s="1"/>
      <c r="AT658" s="1"/>
      <c r="AU658" s="1"/>
      <c r="AV658" s="1"/>
    </row>
    <row r="659" spans="1:48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50"/>
      <c r="AQ659" s="50"/>
      <c r="AR659" s="1"/>
      <c r="AS659" s="1"/>
      <c r="AT659" s="1"/>
      <c r="AU659" s="1"/>
      <c r="AV659" s="1"/>
    </row>
    <row r="660" spans="1:48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50"/>
      <c r="AQ660" s="50"/>
      <c r="AR660" s="1"/>
      <c r="AS660" s="1"/>
      <c r="AT660" s="1"/>
      <c r="AU660" s="1"/>
      <c r="AV660" s="1"/>
    </row>
    <row r="661" spans="1:48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50"/>
      <c r="AQ661" s="50"/>
      <c r="AR661" s="1"/>
      <c r="AS661" s="1"/>
      <c r="AT661" s="1"/>
      <c r="AU661" s="1"/>
      <c r="AV661" s="1"/>
    </row>
    <row r="662" spans="1:48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50"/>
      <c r="AQ662" s="50"/>
      <c r="AR662" s="1"/>
      <c r="AS662" s="1"/>
      <c r="AT662" s="1"/>
      <c r="AU662" s="1"/>
      <c r="AV662" s="1"/>
    </row>
    <row r="663" spans="1:48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50"/>
      <c r="AQ663" s="50"/>
      <c r="AR663" s="1"/>
      <c r="AS663" s="1"/>
      <c r="AT663" s="1"/>
      <c r="AU663" s="1"/>
      <c r="AV663" s="1"/>
    </row>
    <row r="664" spans="1:48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50"/>
      <c r="AQ664" s="50"/>
      <c r="AR664" s="1"/>
      <c r="AS664" s="1"/>
      <c r="AT664" s="1"/>
      <c r="AU664" s="1"/>
      <c r="AV664" s="1"/>
    </row>
    <row r="665" spans="1:48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50"/>
      <c r="AQ665" s="50"/>
      <c r="AR665" s="1"/>
      <c r="AS665" s="1"/>
      <c r="AT665" s="1"/>
      <c r="AU665" s="1"/>
      <c r="AV665" s="1"/>
    </row>
    <row r="666" spans="1:48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50"/>
      <c r="AQ666" s="50"/>
      <c r="AR666" s="1"/>
      <c r="AS666" s="1"/>
      <c r="AT666" s="1"/>
      <c r="AU666" s="1"/>
      <c r="AV666" s="1"/>
    </row>
    <row r="667" spans="1:48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50"/>
      <c r="AQ667" s="50"/>
      <c r="AR667" s="1"/>
      <c r="AS667" s="1"/>
      <c r="AT667" s="1"/>
      <c r="AU667" s="1"/>
      <c r="AV667" s="1"/>
    </row>
    <row r="668" spans="1:48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50"/>
      <c r="AQ668" s="50"/>
      <c r="AR668" s="1"/>
      <c r="AS668" s="1"/>
      <c r="AT668" s="1"/>
      <c r="AU668" s="1"/>
      <c r="AV668" s="1"/>
    </row>
    <row r="669" spans="1:48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50"/>
      <c r="AQ669" s="50"/>
      <c r="AR669" s="1"/>
      <c r="AS669" s="1"/>
      <c r="AT669" s="1"/>
      <c r="AU669" s="1"/>
      <c r="AV669" s="1"/>
    </row>
    <row r="670" spans="1:48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50"/>
      <c r="AQ670" s="50"/>
      <c r="AR670" s="1"/>
      <c r="AS670" s="1"/>
      <c r="AT670" s="1"/>
      <c r="AU670" s="1"/>
      <c r="AV670" s="1"/>
    </row>
    <row r="671" spans="1:48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50"/>
      <c r="AQ671" s="50"/>
      <c r="AR671" s="1"/>
      <c r="AS671" s="1"/>
      <c r="AT671" s="1"/>
      <c r="AU671" s="1"/>
      <c r="AV671" s="1"/>
    </row>
    <row r="672" spans="1:48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50"/>
      <c r="AQ672" s="50"/>
      <c r="AR672" s="1"/>
      <c r="AS672" s="1"/>
      <c r="AT672" s="1"/>
      <c r="AU672" s="1"/>
      <c r="AV672" s="1"/>
    </row>
    <row r="673" spans="1:48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50"/>
      <c r="AQ673" s="50"/>
      <c r="AR673" s="1"/>
      <c r="AS673" s="1"/>
      <c r="AT673" s="1"/>
      <c r="AU673" s="1"/>
      <c r="AV673" s="1"/>
    </row>
    <row r="674" spans="1:48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50"/>
      <c r="AQ674" s="50"/>
      <c r="AR674" s="1"/>
      <c r="AS674" s="1"/>
      <c r="AT674" s="1"/>
      <c r="AU674" s="1"/>
      <c r="AV674" s="1"/>
    </row>
    <row r="675" spans="1:48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50"/>
      <c r="AQ675" s="50"/>
      <c r="AR675" s="1"/>
      <c r="AS675" s="1"/>
      <c r="AT675" s="1"/>
      <c r="AU675" s="1"/>
      <c r="AV675" s="1"/>
    </row>
    <row r="676" spans="1:48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50"/>
      <c r="AQ676" s="50"/>
      <c r="AR676" s="1"/>
      <c r="AS676" s="1"/>
      <c r="AT676" s="1"/>
      <c r="AU676" s="1"/>
      <c r="AV676" s="1"/>
    </row>
    <row r="677" spans="1:48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50"/>
      <c r="AQ677" s="50"/>
      <c r="AR677" s="1"/>
      <c r="AS677" s="1"/>
      <c r="AT677" s="1"/>
      <c r="AU677" s="1"/>
      <c r="AV677" s="1"/>
    </row>
    <row r="678" spans="1:48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50"/>
      <c r="AQ678" s="50"/>
      <c r="AR678" s="1"/>
      <c r="AS678" s="1"/>
      <c r="AT678" s="1"/>
      <c r="AU678" s="1"/>
      <c r="AV678" s="1"/>
    </row>
    <row r="679" spans="1:48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50"/>
      <c r="AQ679" s="50"/>
      <c r="AR679" s="1"/>
      <c r="AS679" s="1"/>
      <c r="AT679" s="1"/>
      <c r="AU679" s="1"/>
      <c r="AV679" s="1"/>
    </row>
    <row r="680" spans="1:48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50"/>
      <c r="AQ680" s="50"/>
      <c r="AR680" s="1"/>
      <c r="AS680" s="1"/>
      <c r="AT680" s="1"/>
      <c r="AU680" s="1"/>
      <c r="AV680" s="1"/>
    </row>
    <row r="681" spans="1:48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50"/>
      <c r="AQ681" s="50"/>
      <c r="AR681" s="1"/>
      <c r="AS681" s="1"/>
      <c r="AT681" s="1"/>
      <c r="AU681" s="1"/>
      <c r="AV681" s="1"/>
    </row>
    <row r="682" spans="1:48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50"/>
      <c r="AQ682" s="50"/>
      <c r="AR682" s="1"/>
      <c r="AS682" s="1"/>
      <c r="AT682" s="1"/>
      <c r="AU682" s="1"/>
      <c r="AV682" s="1"/>
    </row>
    <row r="683" spans="1:48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50"/>
      <c r="AQ683" s="50"/>
      <c r="AR683" s="1"/>
      <c r="AS683" s="1"/>
      <c r="AT683" s="1"/>
      <c r="AU683" s="1"/>
      <c r="AV683" s="1"/>
    </row>
    <row r="684" spans="1:48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50"/>
      <c r="AQ684" s="50"/>
      <c r="AR684" s="1"/>
      <c r="AS684" s="1"/>
      <c r="AT684" s="1"/>
      <c r="AU684" s="1"/>
      <c r="AV684" s="1"/>
    </row>
    <row r="685" spans="1:48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50"/>
      <c r="AQ685" s="50"/>
      <c r="AR685" s="1"/>
      <c r="AS685" s="1"/>
      <c r="AT685" s="1"/>
      <c r="AU685" s="1"/>
      <c r="AV685" s="1"/>
    </row>
    <row r="686" spans="1:48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50"/>
      <c r="AQ686" s="50"/>
      <c r="AR686" s="1"/>
      <c r="AS686" s="1"/>
      <c r="AT686" s="1"/>
      <c r="AU686" s="1"/>
      <c r="AV686" s="1"/>
    </row>
    <row r="687" spans="1:48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50"/>
      <c r="AQ687" s="50"/>
      <c r="AR687" s="1"/>
      <c r="AS687" s="1"/>
      <c r="AT687" s="1"/>
      <c r="AU687" s="1"/>
      <c r="AV687" s="1"/>
    </row>
    <row r="688" spans="1:48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50"/>
      <c r="AQ688" s="50"/>
      <c r="AR688" s="1"/>
      <c r="AS688" s="1"/>
      <c r="AT688" s="1"/>
      <c r="AU688" s="1"/>
      <c r="AV688" s="1"/>
    </row>
    <row r="689" spans="1:48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50"/>
      <c r="AQ689" s="50"/>
      <c r="AR689" s="1"/>
      <c r="AS689" s="1"/>
      <c r="AT689" s="1"/>
      <c r="AU689" s="1"/>
      <c r="AV689" s="1"/>
    </row>
    <row r="690" spans="1:48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50"/>
      <c r="AQ690" s="50"/>
      <c r="AR690" s="1"/>
      <c r="AS690" s="1"/>
      <c r="AT690" s="1"/>
      <c r="AU690" s="1"/>
      <c r="AV690" s="1"/>
    </row>
    <row r="691" spans="1:48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50"/>
      <c r="AQ691" s="50"/>
      <c r="AR691" s="1"/>
      <c r="AS691" s="1"/>
      <c r="AT691" s="1"/>
      <c r="AU691" s="1"/>
      <c r="AV691" s="1"/>
    </row>
    <row r="692" spans="1:48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50"/>
      <c r="AQ692" s="50"/>
      <c r="AR692" s="1"/>
      <c r="AS692" s="1"/>
      <c r="AT692" s="1"/>
      <c r="AU692" s="1"/>
      <c r="AV692" s="1"/>
    </row>
    <row r="693" spans="1:48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50"/>
      <c r="AQ693" s="50"/>
      <c r="AR693" s="1"/>
      <c r="AS693" s="1"/>
      <c r="AT693" s="1"/>
      <c r="AU693" s="1"/>
      <c r="AV693" s="1"/>
    </row>
    <row r="694" spans="1:48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50"/>
      <c r="AQ694" s="50"/>
      <c r="AR694" s="1"/>
      <c r="AS694" s="1"/>
      <c r="AT694" s="1"/>
      <c r="AU694" s="1"/>
      <c r="AV694" s="1"/>
    </row>
    <row r="695" spans="1:48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50"/>
      <c r="AQ695" s="50"/>
      <c r="AR695" s="1"/>
      <c r="AS695" s="1"/>
      <c r="AT695" s="1"/>
      <c r="AU695" s="1"/>
      <c r="AV695" s="1"/>
    </row>
    <row r="696" spans="1:48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50"/>
      <c r="AQ696" s="50"/>
      <c r="AR696" s="1"/>
      <c r="AS696" s="1"/>
      <c r="AT696" s="1"/>
      <c r="AU696" s="1"/>
      <c r="AV696" s="1"/>
    </row>
    <row r="697" spans="1:48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50"/>
      <c r="AQ697" s="50"/>
      <c r="AR697" s="1"/>
      <c r="AS697" s="1"/>
      <c r="AT697" s="1"/>
      <c r="AU697" s="1"/>
      <c r="AV697" s="1"/>
    </row>
    <row r="698" spans="1:48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50"/>
      <c r="AQ698" s="50"/>
      <c r="AR698" s="1"/>
      <c r="AS698" s="1"/>
      <c r="AT698" s="1"/>
      <c r="AU698" s="1"/>
      <c r="AV698" s="1"/>
    </row>
    <row r="699" spans="1:48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50"/>
      <c r="AQ699" s="50"/>
      <c r="AR699" s="1"/>
      <c r="AS699" s="1"/>
      <c r="AT699" s="1"/>
      <c r="AU699" s="1"/>
      <c r="AV699" s="1"/>
    </row>
    <row r="700" spans="1:48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50"/>
      <c r="AQ700" s="50"/>
      <c r="AR700" s="1"/>
      <c r="AS700" s="1"/>
      <c r="AT700" s="1"/>
      <c r="AU700" s="1"/>
      <c r="AV700" s="1"/>
    </row>
    <row r="701" spans="1:48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50"/>
      <c r="AQ701" s="50"/>
      <c r="AR701" s="1"/>
      <c r="AS701" s="1"/>
      <c r="AT701" s="1"/>
      <c r="AU701" s="1"/>
      <c r="AV701" s="1"/>
    </row>
    <row r="702" spans="1:48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50"/>
      <c r="AQ702" s="50"/>
      <c r="AR702" s="1"/>
      <c r="AS702" s="1"/>
      <c r="AT702" s="1"/>
      <c r="AU702" s="1"/>
      <c r="AV702" s="1"/>
    </row>
    <row r="703" spans="1:48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50"/>
      <c r="AQ703" s="50"/>
      <c r="AR703" s="1"/>
      <c r="AS703" s="1"/>
      <c r="AT703" s="1"/>
      <c r="AU703" s="1"/>
      <c r="AV703" s="1"/>
    </row>
    <row r="704" spans="1:48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50"/>
      <c r="AQ704" s="50"/>
      <c r="AR704" s="1"/>
      <c r="AS704" s="1"/>
      <c r="AT704" s="1"/>
      <c r="AU704" s="1"/>
      <c r="AV704" s="1"/>
    </row>
    <row r="705" spans="1:48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50"/>
      <c r="AQ705" s="50"/>
      <c r="AR705" s="1"/>
      <c r="AS705" s="1"/>
      <c r="AT705" s="1"/>
      <c r="AU705" s="1"/>
      <c r="AV705" s="1"/>
    </row>
    <row r="706" spans="1:48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50"/>
      <c r="AQ706" s="50"/>
      <c r="AR706" s="1"/>
      <c r="AS706" s="1"/>
      <c r="AT706" s="1"/>
      <c r="AU706" s="1"/>
      <c r="AV706" s="1"/>
    </row>
    <row r="707" spans="1:48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50"/>
      <c r="AQ707" s="50"/>
      <c r="AR707" s="1"/>
      <c r="AS707" s="1"/>
      <c r="AT707" s="1"/>
      <c r="AU707" s="1"/>
      <c r="AV707" s="1"/>
    </row>
    <row r="708" spans="1:48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50"/>
      <c r="AQ708" s="50"/>
      <c r="AR708" s="1"/>
      <c r="AS708" s="1"/>
      <c r="AT708" s="1"/>
      <c r="AU708" s="1"/>
      <c r="AV708" s="1"/>
    </row>
    <row r="709" spans="1:48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50"/>
      <c r="AQ709" s="50"/>
      <c r="AR709" s="1"/>
      <c r="AS709" s="1"/>
      <c r="AT709" s="1"/>
      <c r="AU709" s="1"/>
      <c r="AV709" s="1"/>
    </row>
    <row r="710" spans="1:48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50"/>
      <c r="AQ710" s="50"/>
      <c r="AR710" s="1"/>
      <c r="AS710" s="1"/>
      <c r="AT710" s="1"/>
      <c r="AU710" s="1"/>
      <c r="AV710" s="1"/>
    </row>
    <row r="711" spans="1:48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50"/>
      <c r="AQ711" s="50"/>
      <c r="AR711" s="1"/>
      <c r="AS711" s="1"/>
      <c r="AT711" s="1"/>
      <c r="AU711" s="1"/>
      <c r="AV711" s="1"/>
    </row>
    <row r="712" spans="1:48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50"/>
      <c r="AQ712" s="50"/>
      <c r="AR712" s="1"/>
      <c r="AS712" s="1"/>
      <c r="AT712" s="1"/>
      <c r="AU712" s="1"/>
      <c r="AV712" s="1"/>
    </row>
    <row r="713" spans="1:48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50"/>
      <c r="AQ713" s="50"/>
      <c r="AR713" s="1"/>
      <c r="AS713" s="1"/>
      <c r="AT713" s="1"/>
      <c r="AU713" s="1"/>
      <c r="AV713" s="1"/>
    </row>
    <row r="714" spans="1:48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50"/>
      <c r="AQ714" s="50"/>
      <c r="AR714" s="1"/>
      <c r="AS714" s="1"/>
      <c r="AT714" s="1"/>
      <c r="AU714" s="1"/>
      <c r="AV714" s="1"/>
    </row>
    <row r="715" spans="1:48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50"/>
      <c r="AQ715" s="50"/>
      <c r="AR715" s="1"/>
      <c r="AS715" s="1"/>
      <c r="AT715" s="1"/>
      <c r="AU715" s="1"/>
      <c r="AV715" s="1"/>
    </row>
    <row r="716" spans="1:48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50"/>
      <c r="AQ716" s="50"/>
      <c r="AR716" s="1"/>
      <c r="AS716" s="1"/>
      <c r="AT716" s="1"/>
      <c r="AU716" s="1"/>
      <c r="AV716" s="1"/>
    </row>
    <row r="717" spans="1:48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50"/>
      <c r="AQ717" s="50"/>
      <c r="AR717" s="1"/>
      <c r="AS717" s="1"/>
      <c r="AT717" s="1"/>
      <c r="AU717" s="1"/>
      <c r="AV717" s="1"/>
    </row>
    <row r="718" spans="1:48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50"/>
      <c r="AQ718" s="50"/>
      <c r="AR718" s="1"/>
      <c r="AS718" s="1"/>
      <c r="AT718" s="1"/>
      <c r="AU718" s="1"/>
      <c r="AV718" s="1"/>
    </row>
    <row r="719" spans="1:48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50"/>
      <c r="AQ719" s="50"/>
      <c r="AR719" s="1"/>
      <c r="AS719" s="1"/>
      <c r="AT719" s="1"/>
      <c r="AU719" s="1"/>
      <c r="AV719" s="1"/>
    </row>
    <row r="720" spans="1:48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50"/>
      <c r="AQ720" s="50"/>
      <c r="AR720" s="1"/>
      <c r="AS720" s="1"/>
      <c r="AT720" s="1"/>
      <c r="AU720" s="1"/>
      <c r="AV720" s="1"/>
    </row>
    <row r="721" spans="1:48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50"/>
      <c r="AQ721" s="50"/>
      <c r="AR721" s="1"/>
      <c r="AS721" s="1"/>
      <c r="AT721" s="1"/>
      <c r="AU721" s="1"/>
      <c r="AV721" s="1"/>
    </row>
    <row r="722" spans="1:48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50"/>
      <c r="AQ722" s="50"/>
      <c r="AR722" s="1"/>
      <c r="AS722" s="1"/>
      <c r="AT722" s="1"/>
      <c r="AU722" s="1"/>
      <c r="AV722" s="1"/>
    </row>
    <row r="723" spans="1:48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50"/>
      <c r="AQ723" s="50"/>
      <c r="AR723" s="1"/>
      <c r="AS723" s="1"/>
      <c r="AT723" s="1"/>
      <c r="AU723" s="1"/>
      <c r="AV723" s="1"/>
    </row>
    <row r="724" spans="1:48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50"/>
      <c r="AQ724" s="50"/>
      <c r="AR724" s="1"/>
      <c r="AS724" s="1"/>
      <c r="AT724" s="1"/>
      <c r="AU724" s="1"/>
      <c r="AV724" s="1"/>
    </row>
    <row r="725" spans="1:48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50"/>
      <c r="AQ725" s="50"/>
      <c r="AR725" s="1"/>
      <c r="AS725" s="1"/>
      <c r="AT725" s="1"/>
      <c r="AU725" s="1"/>
      <c r="AV725" s="1"/>
    </row>
    <row r="726" spans="1:48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50"/>
      <c r="AQ726" s="50"/>
      <c r="AR726" s="1"/>
      <c r="AS726" s="1"/>
      <c r="AT726" s="1"/>
      <c r="AU726" s="1"/>
      <c r="AV726" s="1"/>
    </row>
    <row r="727" spans="1:48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50"/>
      <c r="AQ727" s="50"/>
      <c r="AR727" s="1"/>
      <c r="AS727" s="1"/>
      <c r="AT727" s="1"/>
      <c r="AU727" s="1"/>
      <c r="AV727" s="1"/>
    </row>
    <row r="728" spans="1:48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50"/>
      <c r="AQ728" s="50"/>
      <c r="AR728" s="1"/>
      <c r="AS728" s="1"/>
      <c r="AT728" s="1"/>
      <c r="AU728" s="1"/>
      <c r="AV728" s="1"/>
    </row>
    <row r="729" spans="1:48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50"/>
      <c r="AQ729" s="50"/>
      <c r="AR729" s="1"/>
      <c r="AS729" s="1"/>
      <c r="AT729" s="1"/>
      <c r="AU729" s="1"/>
      <c r="AV729" s="1"/>
    </row>
    <row r="730" spans="1:48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50"/>
      <c r="AQ730" s="50"/>
      <c r="AR730" s="1"/>
      <c r="AS730" s="1"/>
      <c r="AT730" s="1"/>
      <c r="AU730" s="1"/>
      <c r="AV730" s="1"/>
    </row>
    <row r="731" spans="1:48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50"/>
      <c r="AQ731" s="50"/>
      <c r="AR731" s="1"/>
      <c r="AS731" s="1"/>
      <c r="AT731" s="1"/>
      <c r="AU731" s="1"/>
      <c r="AV731" s="1"/>
    </row>
    <row r="732" spans="1:48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50"/>
      <c r="AQ732" s="50"/>
      <c r="AR732" s="1"/>
      <c r="AS732" s="1"/>
      <c r="AT732" s="1"/>
      <c r="AU732" s="1"/>
      <c r="AV732" s="1"/>
    </row>
    <row r="733" spans="1:48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50"/>
      <c r="AQ733" s="50"/>
      <c r="AR733" s="1"/>
      <c r="AS733" s="1"/>
      <c r="AT733" s="1"/>
      <c r="AU733" s="1"/>
      <c r="AV733" s="1"/>
    </row>
    <row r="734" spans="1:48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50"/>
      <c r="AQ734" s="50"/>
      <c r="AR734" s="1"/>
      <c r="AS734" s="1"/>
      <c r="AT734" s="1"/>
      <c r="AU734" s="1"/>
      <c r="AV734" s="1"/>
    </row>
    <row r="735" spans="1:48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50"/>
      <c r="AQ735" s="50"/>
      <c r="AR735" s="1"/>
      <c r="AS735" s="1"/>
      <c r="AT735" s="1"/>
      <c r="AU735" s="1"/>
      <c r="AV735" s="1"/>
    </row>
    <row r="736" spans="1:48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50"/>
      <c r="AQ736" s="50"/>
      <c r="AR736" s="1"/>
      <c r="AS736" s="1"/>
      <c r="AT736" s="1"/>
      <c r="AU736" s="1"/>
      <c r="AV736" s="1"/>
    </row>
    <row r="737" spans="1:48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50"/>
      <c r="AQ737" s="50"/>
      <c r="AR737" s="1"/>
      <c r="AS737" s="1"/>
      <c r="AT737" s="1"/>
      <c r="AU737" s="1"/>
      <c r="AV737" s="1"/>
    </row>
    <row r="738" spans="1:48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50"/>
      <c r="AQ738" s="50"/>
      <c r="AR738" s="1"/>
      <c r="AS738" s="1"/>
      <c r="AT738" s="1"/>
      <c r="AU738" s="1"/>
      <c r="AV738" s="1"/>
    </row>
    <row r="739" spans="1:48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50"/>
      <c r="AQ739" s="50"/>
      <c r="AR739" s="1"/>
      <c r="AS739" s="1"/>
      <c r="AT739" s="1"/>
      <c r="AU739" s="1"/>
      <c r="AV739" s="1"/>
    </row>
    <row r="740" spans="1:48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50"/>
      <c r="AQ740" s="50"/>
      <c r="AR740" s="1"/>
      <c r="AS740" s="1"/>
      <c r="AT740" s="1"/>
      <c r="AU740" s="1"/>
      <c r="AV740" s="1"/>
    </row>
    <row r="741" spans="1:48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50"/>
      <c r="AQ741" s="50"/>
      <c r="AR741" s="1"/>
      <c r="AS741" s="1"/>
      <c r="AT741" s="1"/>
      <c r="AU741" s="1"/>
      <c r="AV741" s="1"/>
    </row>
    <row r="742" spans="1:48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50"/>
      <c r="AQ742" s="50"/>
      <c r="AR742" s="1"/>
      <c r="AS742" s="1"/>
      <c r="AT742" s="1"/>
      <c r="AU742" s="1"/>
      <c r="AV742" s="1"/>
    </row>
    <row r="743" spans="1:48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50"/>
      <c r="AQ743" s="50"/>
      <c r="AR743" s="1"/>
      <c r="AS743" s="1"/>
      <c r="AT743" s="1"/>
      <c r="AU743" s="1"/>
      <c r="AV743" s="1"/>
    </row>
    <row r="744" spans="1:48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50"/>
      <c r="AQ744" s="50"/>
      <c r="AR744" s="1"/>
      <c r="AS744" s="1"/>
      <c r="AT744" s="1"/>
      <c r="AU744" s="1"/>
      <c r="AV744" s="1"/>
    </row>
    <row r="745" spans="1:48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50"/>
      <c r="AQ745" s="50"/>
      <c r="AR745" s="1"/>
      <c r="AS745" s="1"/>
      <c r="AT745" s="1"/>
      <c r="AU745" s="1"/>
      <c r="AV745" s="1"/>
    </row>
    <row r="746" spans="1:48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50"/>
      <c r="AQ746" s="50"/>
      <c r="AR746" s="1"/>
      <c r="AS746" s="1"/>
      <c r="AT746" s="1"/>
      <c r="AU746" s="1"/>
      <c r="AV746" s="1"/>
    </row>
    <row r="747" spans="1:48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50"/>
      <c r="AQ747" s="50"/>
      <c r="AR747" s="1"/>
      <c r="AS747" s="1"/>
      <c r="AT747" s="1"/>
      <c r="AU747" s="1"/>
      <c r="AV747" s="1"/>
    </row>
    <row r="748" spans="1:48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50"/>
      <c r="AQ748" s="50"/>
      <c r="AR748" s="1"/>
      <c r="AS748" s="1"/>
      <c r="AT748" s="1"/>
      <c r="AU748" s="1"/>
      <c r="AV748" s="1"/>
    </row>
    <row r="749" spans="1:48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50"/>
      <c r="AQ749" s="50"/>
      <c r="AR749" s="1"/>
      <c r="AS749" s="1"/>
      <c r="AT749" s="1"/>
      <c r="AU749" s="1"/>
      <c r="AV749" s="1"/>
    </row>
    <row r="750" spans="1:48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50"/>
      <c r="AQ750" s="50"/>
      <c r="AR750" s="1"/>
      <c r="AS750" s="1"/>
      <c r="AT750" s="1"/>
      <c r="AU750" s="1"/>
      <c r="AV750" s="1"/>
    </row>
    <row r="751" spans="1:48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50"/>
      <c r="AQ751" s="50"/>
      <c r="AR751" s="1"/>
      <c r="AS751" s="1"/>
      <c r="AT751" s="1"/>
      <c r="AU751" s="1"/>
      <c r="AV751" s="1"/>
    </row>
    <row r="752" spans="1:48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50"/>
      <c r="AQ752" s="50"/>
      <c r="AR752" s="1"/>
      <c r="AS752" s="1"/>
      <c r="AT752" s="1"/>
      <c r="AU752" s="1"/>
      <c r="AV752" s="1"/>
    </row>
    <row r="753" spans="1:48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50"/>
      <c r="AQ753" s="50"/>
      <c r="AR753" s="1"/>
      <c r="AS753" s="1"/>
      <c r="AT753" s="1"/>
      <c r="AU753" s="1"/>
      <c r="AV753" s="1"/>
    </row>
    <row r="754" spans="1:48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50"/>
      <c r="AQ754" s="50"/>
      <c r="AR754" s="1"/>
      <c r="AS754" s="1"/>
      <c r="AT754" s="1"/>
      <c r="AU754" s="1"/>
      <c r="AV754" s="1"/>
    </row>
    <row r="755" spans="1:48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50"/>
      <c r="AQ755" s="50"/>
      <c r="AR755" s="1"/>
      <c r="AS755" s="1"/>
      <c r="AT755" s="1"/>
      <c r="AU755" s="1"/>
      <c r="AV755" s="1"/>
    </row>
    <row r="756" spans="1:48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50"/>
      <c r="AQ756" s="50"/>
      <c r="AR756" s="1"/>
      <c r="AS756" s="1"/>
      <c r="AT756" s="1"/>
      <c r="AU756" s="1"/>
      <c r="AV756" s="1"/>
    </row>
    <row r="757" spans="1:48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50"/>
      <c r="AQ757" s="50"/>
      <c r="AR757" s="1"/>
      <c r="AS757" s="1"/>
      <c r="AT757" s="1"/>
      <c r="AU757" s="1"/>
      <c r="AV757" s="1"/>
    </row>
    <row r="758" spans="1:48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50"/>
      <c r="AQ758" s="50"/>
      <c r="AR758" s="1"/>
      <c r="AS758" s="1"/>
      <c r="AT758" s="1"/>
      <c r="AU758" s="1"/>
      <c r="AV758" s="1"/>
    </row>
    <row r="759" spans="1:48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50"/>
      <c r="AQ759" s="50"/>
      <c r="AR759" s="1"/>
      <c r="AS759" s="1"/>
      <c r="AT759" s="1"/>
      <c r="AU759" s="1"/>
      <c r="AV759" s="1"/>
    </row>
    <row r="760" spans="1:48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50"/>
      <c r="AQ760" s="50"/>
      <c r="AR760" s="1"/>
      <c r="AS760" s="1"/>
      <c r="AT760" s="1"/>
      <c r="AU760" s="1"/>
      <c r="AV760" s="1"/>
    </row>
    <row r="761" spans="1:48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50"/>
      <c r="AQ761" s="50"/>
      <c r="AR761" s="1"/>
      <c r="AS761" s="1"/>
      <c r="AT761" s="1"/>
      <c r="AU761" s="1"/>
      <c r="AV761" s="1"/>
    </row>
    <row r="762" spans="1:48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50"/>
      <c r="AQ762" s="50"/>
      <c r="AR762" s="1"/>
      <c r="AS762" s="1"/>
      <c r="AT762" s="1"/>
      <c r="AU762" s="1"/>
      <c r="AV762" s="1"/>
    </row>
    <row r="763" spans="1:48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50"/>
      <c r="AQ763" s="50"/>
      <c r="AR763" s="1"/>
      <c r="AS763" s="1"/>
      <c r="AT763" s="1"/>
      <c r="AU763" s="1"/>
      <c r="AV763" s="1"/>
    </row>
    <row r="764" spans="1:48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50"/>
      <c r="AQ764" s="50"/>
      <c r="AR764" s="1"/>
      <c r="AS764" s="1"/>
      <c r="AT764" s="1"/>
      <c r="AU764" s="1"/>
      <c r="AV764" s="1"/>
    </row>
    <row r="765" spans="1:48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50"/>
      <c r="AQ765" s="50"/>
      <c r="AR765" s="1"/>
      <c r="AS765" s="1"/>
      <c r="AT765" s="1"/>
      <c r="AU765" s="1"/>
      <c r="AV765" s="1"/>
    </row>
    <row r="766" spans="1:48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50"/>
      <c r="AQ766" s="50"/>
      <c r="AR766" s="1"/>
      <c r="AS766" s="1"/>
      <c r="AT766" s="1"/>
      <c r="AU766" s="1"/>
      <c r="AV766" s="1"/>
    </row>
    <row r="767" spans="1:48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50"/>
      <c r="AQ767" s="50"/>
      <c r="AR767" s="1"/>
      <c r="AS767" s="1"/>
      <c r="AT767" s="1"/>
      <c r="AU767" s="1"/>
      <c r="AV767" s="1"/>
    </row>
    <row r="768" spans="1:48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50"/>
      <c r="AQ768" s="50"/>
      <c r="AR768" s="1"/>
      <c r="AS768" s="1"/>
      <c r="AT768" s="1"/>
      <c r="AU768" s="1"/>
      <c r="AV768" s="1"/>
    </row>
    <row r="769" spans="1:48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50"/>
      <c r="AQ769" s="50"/>
      <c r="AR769" s="1"/>
      <c r="AS769" s="1"/>
      <c r="AT769" s="1"/>
      <c r="AU769" s="1"/>
      <c r="AV769" s="1"/>
    </row>
    <row r="770" spans="1:48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50"/>
      <c r="AQ770" s="50"/>
      <c r="AR770" s="1"/>
      <c r="AS770" s="1"/>
      <c r="AT770" s="1"/>
      <c r="AU770" s="1"/>
      <c r="AV770" s="1"/>
    </row>
    <row r="771" spans="1:48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50"/>
      <c r="AQ771" s="50"/>
      <c r="AR771" s="1"/>
      <c r="AS771" s="1"/>
      <c r="AT771" s="1"/>
      <c r="AU771" s="1"/>
      <c r="AV771" s="1"/>
    </row>
    <row r="772" spans="1:48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50"/>
      <c r="AQ772" s="50"/>
      <c r="AR772" s="1"/>
      <c r="AS772" s="1"/>
      <c r="AT772" s="1"/>
      <c r="AU772" s="1"/>
      <c r="AV772" s="1"/>
    </row>
    <row r="773" spans="1:48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50"/>
      <c r="AQ773" s="50"/>
      <c r="AR773" s="1"/>
      <c r="AS773" s="1"/>
      <c r="AT773" s="1"/>
      <c r="AU773" s="1"/>
      <c r="AV773" s="1"/>
    </row>
    <row r="774" spans="1:48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50"/>
      <c r="AQ774" s="50"/>
      <c r="AR774" s="1"/>
      <c r="AS774" s="1"/>
      <c r="AT774" s="1"/>
      <c r="AU774" s="1"/>
      <c r="AV774" s="1"/>
    </row>
    <row r="775" spans="1:48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50"/>
      <c r="AQ775" s="50"/>
      <c r="AR775" s="1"/>
      <c r="AS775" s="1"/>
      <c r="AT775" s="1"/>
      <c r="AU775" s="1"/>
      <c r="AV775" s="1"/>
    </row>
    <row r="776" spans="1:48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50"/>
      <c r="AQ776" s="50"/>
      <c r="AR776" s="1"/>
      <c r="AS776" s="1"/>
      <c r="AT776" s="1"/>
      <c r="AU776" s="1"/>
      <c r="AV776" s="1"/>
    </row>
    <row r="777" spans="1:48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50"/>
      <c r="AQ777" s="50"/>
      <c r="AR777" s="1"/>
      <c r="AS777" s="1"/>
      <c r="AT777" s="1"/>
      <c r="AU777" s="1"/>
      <c r="AV777" s="1"/>
    </row>
    <row r="778" spans="1:48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50"/>
      <c r="AQ778" s="50"/>
      <c r="AR778" s="1"/>
      <c r="AS778" s="1"/>
      <c r="AT778" s="1"/>
      <c r="AU778" s="1"/>
      <c r="AV778" s="1"/>
    </row>
    <row r="779" spans="1:48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50"/>
      <c r="AQ779" s="50"/>
      <c r="AR779" s="1"/>
      <c r="AS779" s="1"/>
      <c r="AT779" s="1"/>
      <c r="AU779" s="1"/>
      <c r="AV779" s="1"/>
    </row>
    <row r="780" spans="1:48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50"/>
      <c r="AQ780" s="50"/>
      <c r="AR780" s="1"/>
      <c r="AS780" s="1"/>
      <c r="AT780" s="1"/>
      <c r="AU780" s="1"/>
      <c r="AV780" s="1"/>
    </row>
    <row r="781" spans="1:48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50"/>
      <c r="AQ781" s="50"/>
      <c r="AR781" s="1"/>
      <c r="AS781" s="1"/>
      <c r="AT781" s="1"/>
      <c r="AU781" s="1"/>
      <c r="AV781" s="1"/>
    </row>
    <row r="782" spans="1:48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50"/>
      <c r="AQ782" s="50"/>
      <c r="AR782" s="1"/>
      <c r="AS782" s="1"/>
      <c r="AT782" s="1"/>
      <c r="AU782" s="1"/>
      <c r="AV782" s="1"/>
    </row>
    <row r="783" spans="1:48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50"/>
      <c r="AQ783" s="50"/>
      <c r="AR783" s="1"/>
      <c r="AS783" s="1"/>
      <c r="AT783" s="1"/>
      <c r="AU783" s="1"/>
      <c r="AV783" s="1"/>
    </row>
    <row r="784" spans="1:48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50"/>
      <c r="AQ784" s="50"/>
      <c r="AR784" s="1"/>
      <c r="AS784" s="1"/>
      <c r="AT784" s="1"/>
      <c r="AU784" s="1"/>
      <c r="AV784" s="1"/>
    </row>
    <row r="785" spans="1:48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50"/>
      <c r="AQ785" s="50"/>
      <c r="AR785" s="1"/>
      <c r="AS785" s="1"/>
      <c r="AT785" s="1"/>
      <c r="AU785" s="1"/>
      <c r="AV785" s="1"/>
    </row>
    <row r="786" spans="1:48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50"/>
      <c r="AQ786" s="50"/>
      <c r="AR786" s="1"/>
      <c r="AS786" s="1"/>
      <c r="AT786" s="1"/>
      <c r="AU786" s="1"/>
      <c r="AV786" s="1"/>
    </row>
    <row r="787" spans="1:48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50"/>
      <c r="AQ787" s="50"/>
      <c r="AR787" s="1"/>
      <c r="AS787" s="1"/>
      <c r="AT787" s="1"/>
      <c r="AU787" s="1"/>
      <c r="AV787" s="1"/>
    </row>
    <row r="788" spans="1:48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50"/>
      <c r="AQ788" s="50"/>
      <c r="AR788" s="1"/>
      <c r="AS788" s="1"/>
      <c r="AT788" s="1"/>
      <c r="AU788" s="1"/>
      <c r="AV788" s="1"/>
    </row>
    <row r="789" spans="1:48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50"/>
      <c r="AQ789" s="50"/>
      <c r="AR789" s="1"/>
      <c r="AS789" s="1"/>
      <c r="AT789" s="1"/>
      <c r="AU789" s="1"/>
      <c r="AV789" s="1"/>
    </row>
    <row r="790" spans="1:48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50"/>
      <c r="AQ790" s="50"/>
      <c r="AR790" s="1"/>
      <c r="AS790" s="1"/>
      <c r="AT790" s="1"/>
      <c r="AU790" s="1"/>
      <c r="AV790" s="1"/>
    </row>
    <row r="791" spans="1:48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50"/>
      <c r="AQ791" s="50"/>
      <c r="AR791" s="1"/>
      <c r="AS791" s="1"/>
      <c r="AT791" s="1"/>
      <c r="AU791" s="1"/>
      <c r="AV791" s="1"/>
    </row>
    <row r="792" spans="1:48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50"/>
      <c r="AQ792" s="50"/>
      <c r="AR792" s="1"/>
      <c r="AS792" s="1"/>
      <c r="AT792" s="1"/>
      <c r="AU792" s="1"/>
      <c r="AV792" s="1"/>
    </row>
    <row r="793" spans="1:48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50"/>
      <c r="AQ793" s="50"/>
      <c r="AR793" s="1"/>
      <c r="AS793" s="1"/>
      <c r="AT793" s="1"/>
      <c r="AU793" s="1"/>
      <c r="AV793" s="1"/>
    </row>
    <row r="794" spans="1:48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50"/>
      <c r="AQ794" s="50"/>
      <c r="AR794" s="1"/>
      <c r="AS794" s="1"/>
      <c r="AT794" s="1"/>
      <c r="AU794" s="1"/>
      <c r="AV794" s="1"/>
    </row>
    <row r="795" spans="1:48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50"/>
      <c r="AQ795" s="50"/>
      <c r="AR795" s="1"/>
      <c r="AS795" s="1"/>
      <c r="AT795" s="1"/>
      <c r="AU795" s="1"/>
      <c r="AV795" s="1"/>
    </row>
    <row r="796" spans="1:48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50"/>
      <c r="AQ796" s="50"/>
      <c r="AR796" s="1"/>
      <c r="AS796" s="1"/>
      <c r="AT796" s="1"/>
      <c r="AU796" s="1"/>
      <c r="AV796" s="1"/>
    </row>
    <row r="797" spans="1:48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50"/>
      <c r="AQ797" s="50"/>
      <c r="AR797" s="1"/>
      <c r="AS797" s="1"/>
      <c r="AT797" s="1"/>
      <c r="AU797" s="1"/>
      <c r="AV797" s="1"/>
    </row>
    <row r="798" spans="1:48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50"/>
      <c r="AQ798" s="50"/>
      <c r="AR798" s="1"/>
      <c r="AS798" s="1"/>
      <c r="AT798" s="1"/>
      <c r="AU798" s="1"/>
      <c r="AV798" s="1"/>
    </row>
    <row r="799" spans="1:48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50"/>
      <c r="AQ799" s="50"/>
      <c r="AR799" s="1"/>
      <c r="AS799" s="1"/>
      <c r="AT799" s="1"/>
      <c r="AU799" s="1"/>
      <c r="AV799" s="1"/>
    </row>
    <row r="800" spans="1:48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50"/>
      <c r="AQ800" s="50"/>
      <c r="AR800" s="1"/>
      <c r="AS800" s="1"/>
      <c r="AT800" s="1"/>
      <c r="AU800" s="1"/>
      <c r="AV800" s="1"/>
    </row>
    <row r="801" spans="1:48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50"/>
      <c r="AQ801" s="50"/>
      <c r="AR801" s="1"/>
      <c r="AS801" s="1"/>
      <c r="AT801" s="1"/>
      <c r="AU801" s="1"/>
      <c r="AV801" s="1"/>
    </row>
    <row r="802" spans="1:48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50"/>
      <c r="AQ802" s="50"/>
      <c r="AR802" s="1"/>
      <c r="AS802" s="1"/>
      <c r="AT802" s="1"/>
      <c r="AU802" s="1"/>
      <c r="AV802" s="1"/>
    </row>
    <row r="803" spans="1:48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50"/>
      <c r="AQ803" s="50"/>
      <c r="AR803" s="1"/>
      <c r="AS803" s="1"/>
      <c r="AT803" s="1"/>
      <c r="AU803" s="1"/>
      <c r="AV803" s="1"/>
    </row>
    <row r="804" spans="1:48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50"/>
      <c r="AQ804" s="50"/>
      <c r="AR804" s="1"/>
      <c r="AS804" s="1"/>
      <c r="AT804" s="1"/>
      <c r="AU804" s="1"/>
      <c r="AV804" s="1"/>
    </row>
    <row r="805" spans="1:48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50"/>
      <c r="AQ805" s="50"/>
      <c r="AR805" s="1"/>
      <c r="AS805" s="1"/>
      <c r="AT805" s="1"/>
      <c r="AU805" s="1"/>
      <c r="AV805" s="1"/>
    </row>
    <row r="806" spans="1:48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50"/>
      <c r="AQ806" s="50"/>
      <c r="AR806" s="1"/>
      <c r="AS806" s="1"/>
      <c r="AT806" s="1"/>
      <c r="AU806" s="1"/>
      <c r="AV806" s="1"/>
    </row>
    <row r="807" spans="1:48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50"/>
      <c r="AQ807" s="50"/>
      <c r="AR807" s="1"/>
      <c r="AS807" s="1"/>
      <c r="AT807" s="1"/>
      <c r="AU807" s="1"/>
      <c r="AV807" s="1"/>
    </row>
    <row r="808" spans="1:48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50"/>
      <c r="AQ808" s="50"/>
      <c r="AR808" s="1"/>
      <c r="AS808" s="1"/>
      <c r="AT808" s="1"/>
      <c r="AU808" s="1"/>
      <c r="AV808" s="1"/>
    </row>
    <row r="809" spans="1:48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50"/>
      <c r="AQ809" s="50"/>
      <c r="AR809" s="1"/>
      <c r="AS809" s="1"/>
      <c r="AT809" s="1"/>
      <c r="AU809" s="1"/>
      <c r="AV809" s="1"/>
    </row>
    <row r="810" spans="1:48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50"/>
      <c r="AQ810" s="50"/>
      <c r="AR810" s="1"/>
      <c r="AS810" s="1"/>
      <c r="AT810" s="1"/>
      <c r="AU810" s="1"/>
      <c r="AV810" s="1"/>
    </row>
    <row r="811" spans="1:48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50"/>
      <c r="AQ811" s="50"/>
      <c r="AR811" s="1"/>
      <c r="AS811" s="1"/>
      <c r="AT811" s="1"/>
      <c r="AU811" s="1"/>
      <c r="AV811" s="1"/>
    </row>
    <row r="812" spans="1:48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50"/>
      <c r="AQ812" s="50"/>
      <c r="AR812" s="1"/>
      <c r="AS812" s="1"/>
      <c r="AT812" s="1"/>
      <c r="AU812" s="1"/>
      <c r="AV812" s="1"/>
    </row>
    <row r="813" spans="1:48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50"/>
      <c r="AQ813" s="50"/>
      <c r="AR813" s="1"/>
      <c r="AS813" s="1"/>
      <c r="AT813" s="1"/>
      <c r="AU813" s="1"/>
      <c r="AV813" s="1"/>
    </row>
    <row r="814" spans="1:48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50"/>
      <c r="AQ814" s="50"/>
      <c r="AR814" s="1"/>
      <c r="AS814" s="1"/>
      <c r="AT814" s="1"/>
      <c r="AU814" s="1"/>
      <c r="AV814" s="1"/>
    </row>
    <row r="815" spans="1:48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50"/>
      <c r="AQ815" s="50"/>
      <c r="AR815" s="1"/>
      <c r="AS815" s="1"/>
      <c r="AT815" s="1"/>
      <c r="AU815" s="1"/>
      <c r="AV815" s="1"/>
    </row>
    <row r="816" spans="1:48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50"/>
      <c r="AQ816" s="50"/>
      <c r="AR816" s="1"/>
      <c r="AS816" s="1"/>
      <c r="AT816" s="1"/>
      <c r="AU816" s="1"/>
      <c r="AV816" s="1"/>
    </row>
    <row r="817" spans="1:48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50"/>
      <c r="AQ817" s="50"/>
      <c r="AR817" s="1"/>
      <c r="AS817" s="1"/>
      <c r="AT817" s="1"/>
      <c r="AU817" s="1"/>
      <c r="AV817" s="1"/>
    </row>
    <row r="818" spans="1:48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50"/>
      <c r="AQ818" s="50"/>
      <c r="AR818" s="1"/>
      <c r="AS818" s="1"/>
      <c r="AT818" s="1"/>
      <c r="AU818" s="1"/>
      <c r="AV818" s="1"/>
    </row>
    <row r="819" spans="1:48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50"/>
      <c r="AQ819" s="50"/>
      <c r="AR819" s="1"/>
      <c r="AS819" s="1"/>
      <c r="AT819" s="1"/>
      <c r="AU819" s="1"/>
      <c r="AV819" s="1"/>
    </row>
    <row r="820" spans="1:48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50"/>
      <c r="AQ820" s="50"/>
      <c r="AR820" s="1"/>
      <c r="AS820" s="1"/>
      <c r="AT820" s="1"/>
      <c r="AU820" s="1"/>
      <c r="AV820" s="1"/>
    </row>
    <row r="821" spans="1:48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50"/>
      <c r="AQ821" s="50"/>
      <c r="AR821" s="1"/>
      <c r="AS821" s="1"/>
      <c r="AT821" s="1"/>
      <c r="AU821" s="1"/>
      <c r="AV821" s="1"/>
    </row>
    <row r="822" spans="1:48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50"/>
      <c r="AQ822" s="50"/>
      <c r="AR822" s="1"/>
      <c r="AS822" s="1"/>
      <c r="AT822" s="1"/>
      <c r="AU822" s="1"/>
      <c r="AV822" s="1"/>
    </row>
    <row r="823" spans="1:48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50"/>
      <c r="AQ823" s="50"/>
      <c r="AR823" s="1"/>
      <c r="AS823" s="1"/>
      <c r="AT823" s="1"/>
      <c r="AU823" s="1"/>
      <c r="AV823" s="1"/>
    </row>
    <row r="824" spans="1:48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50"/>
      <c r="AQ824" s="50"/>
      <c r="AR824" s="1"/>
      <c r="AS824" s="1"/>
      <c r="AT824" s="1"/>
      <c r="AU824" s="1"/>
      <c r="AV824" s="1"/>
    </row>
    <row r="825" spans="1:48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50"/>
      <c r="AQ825" s="50"/>
      <c r="AR825" s="1"/>
      <c r="AS825" s="1"/>
      <c r="AT825" s="1"/>
      <c r="AU825" s="1"/>
      <c r="AV825" s="1"/>
    </row>
    <row r="826" spans="1:48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50"/>
      <c r="AQ826" s="50"/>
      <c r="AR826" s="1"/>
      <c r="AS826" s="1"/>
      <c r="AT826" s="1"/>
      <c r="AU826" s="1"/>
      <c r="AV826" s="1"/>
    </row>
    <row r="827" spans="1:48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50"/>
      <c r="AQ827" s="50"/>
      <c r="AR827" s="1"/>
      <c r="AS827" s="1"/>
      <c r="AT827" s="1"/>
      <c r="AU827" s="1"/>
      <c r="AV827" s="1"/>
    </row>
    <row r="828" spans="1:48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50"/>
      <c r="AQ828" s="50"/>
      <c r="AR828" s="1"/>
      <c r="AS828" s="1"/>
      <c r="AT828" s="1"/>
      <c r="AU828" s="1"/>
      <c r="AV828" s="1"/>
    </row>
    <row r="829" spans="1:48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50"/>
      <c r="AQ829" s="50"/>
      <c r="AR829" s="1"/>
      <c r="AS829" s="1"/>
      <c r="AT829" s="1"/>
      <c r="AU829" s="1"/>
      <c r="AV829" s="1"/>
    </row>
    <row r="830" spans="1:48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50"/>
      <c r="AQ830" s="50"/>
      <c r="AR830" s="1"/>
      <c r="AS830" s="1"/>
      <c r="AT830" s="1"/>
      <c r="AU830" s="1"/>
      <c r="AV830" s="1"/>
    </row>
    <row r="831" spans="1:48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50"/>
      <c r="AQ831" s="50"/>
      <c r="AR831" s="1"/>
      <c r="AS831" s="1"/>
      <c r="AT831" s="1"/>
      <c r="AU831" s="1"/>
      <c r="AV831" s="1"/>
    </row>
    <row r="832" spans="1:48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50"/>
      <c r="AQ832" s="50"/>
      <c r="AR832" s="1"/>
      <c r="AS832" s="1"/>
      <c r="AT832" s="1"/>
      <c r="AU832" s="1"/>
      <c r="AV832" s="1"/>
    </row>
    <row r="833" spans="1:48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50"/>
      <c r="AQ833" s="50"/>
      <c r="AR833" s="1"/>
      <c r="AS833" s="1"/>
      <c r="AT833" s="1"/>
      <c r="AU833" s="1"/>
      <c r="AV833" s="1"/>
    </row>
    <row r="834" spans="1:48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50"/>
      <c r="AQ834" s="50"/>
      <c r="AR834" s="1"/>
      <c r="AS834" s="1"/>
      <c r="AT834" s="1"/>
      <c r="AU834" s="1"/>
      <c r="AV834" s="1"/>
    </row>
    <row r="835" spans="1:48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50"/>
      <c r="AQ835" s="50"/>
      <c r="AR835" s="1"/>
      <c r="AS835" s="1"/>
      <c r="AT835" s="1"/>
      <c r="AU835" s="1"/>
      <c r="AV835" s="1"/>
    </row>
    <row r="836" spans="1:48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50"/>
      <c r="AQ836" s="50"/>
      <c r="AR836" s="1"/>
      <c r="AS836" s="1"/>
      <c r="AT836" s="1"/>
      <c r="AU836" s="1"/>
      <c r="AV836" s="1"/>
    </row>
    <row r="837" spans="1:48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50"/>
      <c r="AQ837" s="50"/>
      <c r="AR837" s="1"/>
      <c r="AS837" s="1"/>
      <c r="AT837" s="1"/>
      <c r="AU837" s="1"/>
      <c r="AV837" s="1"/>
    </row>
    <row r="838" spans="1:48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50"/>
      <c r="AQ838" s="50"/>
      <c r="AR838" s="1"/>
      <c r="AS838" s="1"/>
      <c r="AT838" s="1"/>
      <c r="AU838" s="1"/>
      <c r="AV838" s="1"/>
    </row>
    <row r="839" spans="1:48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50"/>
      <c r="AQ839" s="50"/>
      <c r="AR839" s="1"/>
      <c r="AS839" s="1"/>
      <c r="AT839" s="1"/>
      <c r="AU839" s="1"/>
      <c r="AV839" s="1"/>
    </row>
    <row r="840" spans="1:48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50"/>
      <c r="AQ840" s="50"/>
      <c r="AR840" s="1"/>
      <c r="AS840" s="1"/>
      <c r="AT840" s="1"/>
      <c r="AU840" s="1"/>
      <c r="AV840" s="1"/>
    </row>
    <row r="841" spans="1:48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50"/>
      <c r="AQ841" s="50"/>
      <c r="AR841" s="1"/>
      <c r="AS841" s="1"/>
      <c r="AT841" s="1"/>
      <c r="AU841" s="1"/>
      <c r="AV841" s="1"/>
    </row>
    <row r="842" spans="1:48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50"/>
      <c r="AQ842" s="50"/>
      <c r="AR842" s="1"/>
      <c r="AS842" s="1"/>
      <c r="AT842" s="1"/>
      <c r="AU842" s="1"/>
      <c r="AV842" s="1"/>
    </row>
    <row r="843" spans="1:48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50"/>
      <c r="AQ843" s="50"/>
      <c r="AR843" s="1"/>
      <c r="AS843" s="1"/>
      <c r="AT843" s="1"/>
      <c r="AU843" s="1"/>
      <c r="AV843" s="1"/>
    </row>
    <row r="844" spans="1:48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50"/>
      <c r="AQ844" s="50"/>
      <c r="AR844" s="1"/>
      <c r="AS844" s="1"/>
      <c r="AT844" s="1"/>
      <c r="AU844" s="1"/>
      <c r="AV844" s="1"/>
    </row>
    <row r="845" spans="1:48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50"/>
      <c r="AQ845" s="50"/>
      <c r="AR845" s="1"/>
      <c r="AS845" s="1"/>
      <c r="AT845" s="1"/>
      <c r="AU845" s="1"/>
      <c r="AV845" s="1"/>
    </row>
    <row r="846" spans="1:48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50"/>
      <c r="AQ846" s="50"/>
      <c r="AR846" s="1"/>
      <c r="AS846" s="1"/>
      <c r="AT846" s="1"/>
      <c r="AU846" s="1"/>
      <c r="AV846" s="1"/>
    </row>
    <row r="847" spans="1:48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50"/>
      <c r="AQ847" s="50"/>
      <c r="AR847" s="1"/>
      <c r="AS847" s="1"/>
      <c r="AT847" s="1"/>
      <c r="AU847" s="1"/>
      <c r="AV847" s="1"/>
    </row>
    <row r="848" spans="1:48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50"/>
      <c r="AQ848" s="50"/>
      <c r="AR848" s="1"/>
      <c r="AS848" s="1"/>
      <c r="AT848" s="1"/>
      <c r="AU848" s="1"/>
      <c r="AV848" s="1"/>
    </row>
    <row r="849" spans="1:48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50"/>
      <c r="AQ849" s="50"/>
      <c r="AR849" s="1"/>
      <c r="AS849" s="1"/>
      <c r="AT849" s="1"/>
      <c r="AU849" s="1"/>
      <c r="AV849" s="1"/>
    </row>
    <row r="850" spans="1:48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50"/>
      <c r="AQ850" s="50"/>
      <c r="AR850" s="1"/>
      <c r="AS850" s="1"/>
      <c r="AT850" s="1"/>
      <c r="AU850" s="1"/>
      <c r="AV850" s="1"/>
    </row>
    <row r="851" spans="1:48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50"/>
      <c r="AQ851" s="50"/>
      <c r="AR851" s="1"/>
      <c r="AS851" s="1"/>
      <c r="AT851" s="1"/>
      <c r="AU851" s="1"/>
      <c r="AV851" s="1"/>
    </row>
    <row r="852" spans="1:48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50"/>
      <c r="AQ852" s="50"/>
      <c r="AR852" s="1"/>
      <c r="AS852" s="1"/>
      <c r="AT852" s="1"/>
      <c r="AU852" s="1"/>
      <c r="AV852" s="1"/>
    </row>
    <row r="853" spans="1:48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50"/>
      <c r="AQ853" s="50"/>
      <c r="AR853" s="1"/>
      <c r="AS853" s="1"/>
      <c r="AT853" s="1"/>
      <c r="AU853" s="1"/>
      <c r="AV853" s="1"/>
    </row>
    <row r="854" spans="1:48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50"/>
      <c r="AQ854" s="50"/>
      <c r="AR854" s="1"/>
      <c r="AS854" s="1"/>
      <c r="AT854" s="1"/>
      <c r="AU854" s="1"/>
      <c r="AV854" s="1"/>
    </row>
    <row r="855" spans="1:48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50"/>
      <c r="AQ855" s="50"/>
      <c r="AR855" s="1"/>
      <c r="AS855" s="1"/>
      <c r="AT855" s="1"/>
      <c r="AU855" s="1"/>
      <c r="AV855" s="1"/>
    </row>
    <row r="856" spans="1:48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50"/>
      <c r="AQ856" s="50"/>
      <c r="AR856" s="1"/>
      <c r="AS856" s="1"/>
      <c r="AT856" s="1"/>
      <c r="AU856" s="1"/>
      <c r="AV856" s="1"/>
    </row>
    <row r="857" spans="1:48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50"/>
      <c r="AQ857" s="50"/>
      <c r="AR857" s="1"/>
      <c r="AS857" s="1"/>
      <c r="AT857" s="1"/>
      <c r="AU857" s="1"/>
      <c r="AV857" s="1"/>
    </row>
    <row r="858" spans="1:48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50"/>
      <c r="AQ858" s="50"/>
      <c r="AR858" s="1"/>
      <c r="AS858" s="1"/>
      <c r="AT858" s="1"/>
      <c r="AU858" s="1"/>
      <c r="AV858" s="1"/>
    </row>
    <row r="859" spans="1:48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50"/>
      <c r="AQ859" s="50"/>
      <c r="AR859" s="1"/>
      <c r="AS859" s="1"/>
      <c r="AT859" s="1"/>
      <c r="AU859" s="1"/>
      <c r="AV859" s="1"/>
    </row>
    <row r="860" spans="1:48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50"/>
      <c r="AQ860" s="50"/>
      <c r="AR860" s="1"/>
      <c r="AS860" s="1"/>
      <c r="AT860" s="1"/>
      <c r="AU860" s="1"/>
      <c r="AV860" s="1"/>
    </row>
    <row r="861" spans="1:48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50"/>
      <c r="AQ861" s="50"/>
      <c r="AR861" s="1"/>
      <c r="AS861" s="1"/>
      <c r="AT861" s="1"/>
      <c r="AU861" s="1"/>
      <c r="AV861" s="1"/>
    </row>
    <row r="862" spans="1:48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50"/>
      <c r="AQ862" s="50"/>
      <c r="AR862" s="1"/>
      <c r="AS862" s="1"/>
      <c r="AT862" s="1"/>
      <c r="AU862" s="1"/>
      <c r="AV862" s="1"/>
    </row>
    <row r="863" spans="1:48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50"/>
      <c r="AQ863" s="50"/>
      <c r="AR863" s="1"/>
      <c r="AS863" s="1"/>
      <c r="AT863" s="1"/>
      <c r="AU863" s="1"/>
      <c r="AV863" s="1"/>
    </row>
    <row r="864" spans="1:48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50"/>
      <c r="AQ864" s="50"/>
      <c r="AR864" s="1"/>
      <c r="AS864" s="1"/>
      <c r="AT864" s="1"/>
      <c r="AU864" s="1"/>
      <c r="AV864" s="1"/>
    </row>
    <row r="865" spans="1:48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50"/>
      <c r="AQ865" s="50"/>
      <c r="AR865" s="1"/>
      <c r="AS865" s="1"/>
      <c r="AT865" s="1"/>
      <c r="AU865" s="1"/>
      <c r="AV865" s="1"/>
    </row>
    <row r="866" spans="1:48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50"/>
      <c r="AQ866" s="50"/>
      <c r="AR866" s="1"/>
      <c r="AS866" s="1"/>
      <c r="AT866" s="1"/>
      <c r="AU866" s="1"/>
      <c r="AV866" s="1"/>
    </row>
    <row r="867" spans="1:48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50"/>
      <c r="AQ867" s="50"/>
      <c r="AR867" s="1"/>
      <c r="AS867" s="1"/>
      <c r="AT867" s="1"/>
      <c r="AU867" s="1"/>
      <c r="AV867" s="1"/>
    </row>
    <row r="868" spans="1:48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50"/>
      <c r="AQ868" s="50"/>
      <c r="AR868" s="1"/>
      <c r="AS868" s="1"/>
      <c r="AT868" s="1"/>
      <c r="AU868" s="1"/>
      <c r="AV868" s="1"/>
    </row>
    <row r="869" spans="1:48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50"/>
      <c r="AQ869" s="50"/>
      <c r="AR869" s="1"/>
      <c r="AS869" s="1"/>
      <c r="AT869" s="1"/>
      <c r="AU869" s="1"/>
      <c r="AV869" s="1"/>
    </row>
    <row r="870" spans="1:48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50"/>
      <c r="AQ870" s="50"/>
      <c r="AR870" s="1"/>
      <c r="AS870" s="1"/>
      <c r="AT870" s="1"/>
      <c r="AU870" s="1"/>
      <c r="AV870" s="1"/>
    </row>
    <row r="871" spans="1:48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50"/>
      <c r="AQ871" s="50"/>
      <c r="AR871" s="1"/>
      <c r="AS871" s="1"/>
      <c r="AT871" s="1"/>
      <c r="AU871" s="1"/>
      <c r="AV871" s="1"/>
    </row>
    <row r="872" spans="1:48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50"/>
      <c r="AQ872" s="50"/>
      <c r="AR872" s="1"/>
      <c r="AS872" s="1"/>
      <c r="AT872" s="1"/>
      <c r="AU872" s="1"/>
      <c r="AV872" s="1"/>
    </row>
    <row r="873" spans="1:48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50"/>
      <c r="AQ873" s="50"/>
      <c r="AR873" s="1"/>
      <c r="AS873" s="1"/>
      <c r="AT873" s="1"/>
      <c r="AU873" s="1"/>
      <c r="AV873" s="1"/>
    </row>
    <row r="874" spans="1:48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50"/>
      <c r="AQ874" s="50"/>
      <c r="AR874" s="1"/>
      <c r="AS874" s="1"/>
      <c r="AT874" s="1"/>
      <c r="AU874" s="1"/>
      <c r="AV874" s="1"/>
    </row>
    <row r="875" spans="1:48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50"/>
      <c r="AQ875" s="50"/>
      <c r="AR875" s="1"/>
      <c r="AS875" s="1"/>
      <c r="AT875" s="1"/>
      <c r="AU875" s="1"/>
      <c r="AV875" s="1"/>
    </row>
    <row r="876" spans="1:48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50"/>
      <c r="AQ876" s="50"/>
      <c r="AR876" s="1"/>
      <c r="AS876" s="1"/>
      <c r="AT876" s="1"/>
      <c r="AU876" s="1"/>
      <c r="AV876" s="1"/>
    </row>
    <row r="877" spans="1:48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50"/>
      <c r="AQ877" s="50"/>
      <c r="AR877" s="1"/>
      <c r="AS877" s="1"/>
      <c r="AT877" s="1"/>
      <c r="AU877" s="1"/>
      <c r="AV877" s="1"/>
    </row>
    <row r="878" spans="1:48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50"/>
      <c r="AQ878" s="50"/>
      <c r="AR878" s="1"/>
      <c r="AS878" s="1"/>
      <c r="AT878" s="1"/>
      <c r="AU878" s="1"/>
      <c r="AV878" s="1"/>
    </row>
    <row r="879" spans="1:48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50"/>
      <c r="AQ879" s="50"/>
      <c r="AR879" s="1"/>
      <c r="AS879" s="1"/>
      <c r="AT879" s="1"/>
      <c r="AU879" s="1"/>
      <c r="AV879" s="1"/>
    </row>
    <row r="880" spans="1:48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50"/>
      <c r="AQ880" s="50"/>
      <c r="AR880" s="1"/>
      <c r="AS880" s="1"/>
      <c r="AT880" s="1"/>
      <c r="AU880" s="1"/>
      <c r="AV880" s="1"/>
    </row>
    <row r="881" spans="1:48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50"/>
      <c r="AQ881" s="50"/>
      <c r="AR881" s="1"/>
      <c r="AS881" s="1"/>
      <c r="AT881" s="1"/>
      <c r="AU881" s="1"/>
      <c r="AV881" s="1"/>
    </row>
    <row r="882" spans="1:48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50"/>
      <c r="AQ882" s="50"/>
      <c r="AR882" s="1"/>
      <c r="AS882" s="1"/>
      <c r="AT882" s="1"/>
      <c r="AU882" s="1"/>
      <c r="AV882" s="1"/>
    </row>
    <row r="883" spans="1:48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50"/>
      <c r="AQ883" s="50"/>
      <c r="AR883" s="1"/>
      <c r="AS883" s="1"/>
      <c r="AT883" s="1"/>
      <c r="AU883" s="1"/>
      <c r="AV883" s="1"/>
    </row>
    <row r="884" spans="1:48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50"/>
      <c r="AQ884" s="50"/>
      <c r="AR884" s="1"/>
      <c r="AS884" s="1"/>
      <c r="AT884" s="1"/>
      <c r="AU884" s="1"/>
      <c r="AV884" s="1"/>
    </row>
    <row r="885" spans="1:48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50"/>
      <c r="AQ885" s="50"/>
      <c r="AR885" s="1"/>
      <c r="AS885" s="1"/>
      <c r="AT885" s="1"/>
      <c r="AU885" s="1"/>
      <c r="AV885" s="1"/>
    </row>
    <row r="886" spans="1:48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50"/>
      <c r="AQ886" s="50"/>
      <c r="AR886" s="1"/>
      <c r="AS886" s="1"/>
      <c r="AT886" s="1"/>
      <c r="AU886" s="1"/>
      <c r="AV886" s="1"/>
    </row>
    <row r="887" spans="1:48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50"/>
      <c r="AQ887" s="50"/>
      <c r="AR887" s="1"/>
      <c r="AS887" s="1"/>
      <c r="AT887" s="1"/>
      <c r="AU887" s="1"/>
      <c r="AV887" s="1"/>
    </row>
    <row r="888" spans="1:48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50"/>
      <c r="AQ888" s="50"/>
      <c r="AR888" s="1"/>
      <c r="AS888" s="1"/>
      <c r="AT888" s="1"/>
      <c r="AU888" s="1"/>
      <c r="AV888" s="1"/>
    </row>
    <row r="889" spans="1:48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50"/>
      <c r="AQ889" s="50"/>
      <c r="AR889" s="1"/>
      <c r="AS889" s="1"/>
      <c r="AT889" s="1"/>
      <c r="AU889" s="1"/>
      <c r="AV889" s="1"/>
    </row>
    <row r="890" spans="1:48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50"/>
      <c r="AQ890" s="50"/>
      <c r="AR890" s="1"/>
      <c r="AS890" s="1"/>
      <c r="AT890" s="1"/>
      <c r="AU890" s="1"/>
      <c r="AV890" s="1"/>
    </row>
    <row r="891" spans="1:48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50"/>
      <c r="AQ891" s="50"/>
      <c r="AR891" s="1"/>
      <c r="AS891" s="1"/>
      <c r="AT891" s="1"/>
      <c r="AU891" s="1"/>
      <c r="AV891" s="1"/>
    </row>
    <row r="892" spans="1:48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50"/>
      <c r="AQ892" s="50"/>
      <c r="AR892" s="1"/>
      <c r="AS892" s="1"/>
      <c r="AT892" s="1"/>
      <c r="AU892" s="1"/>
      <c r="AV892" s="1"/>
    </row>
    <row r="893" spans="1:48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50"/>
      <c r="AQ893" s="50"/>
      <c r="AR893" s="1"/>
      <c r="AS893" s="1"/>
      <c r="AT893" s="1"/>
      <c r="AU893" s="1"/>
      <c r="AV893" s="1"/>
    </row>
    <row r="894" spans="1:48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50"/>
      <c r="AQ894" s="50"/>
      <c r="AR894" s="1"/>
      <c r="AS894" s="1"/>
      <c r="AT894" s="1"/>
      <c r="AU894" s="1"/>
      <c r="AV894" s="1"/>
    </row>
    <row r="895" spans="1:48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50"/>
      <c r="AQ895" s="50"/>
      <c r="AR895" s="1"/>
      <c r="AS895" s="1"/>
      <c r="AT895" s="1"/>
      <c r="AU895" s="1"/>
      <c r="AV895" s="1"/>
    </row>
    <row r="896" spans="1:48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50"/>
      <c r="AQ896" s="50"/>
      <c r="AR896" s="1"/>
      <c r="AS896" s="1"/>
      <c r="AT896" s="1"/>
      <c r="AU896" s="1"/>
      <c r="AV896" s="1"/>
    </row>
    <row r="897" spans="1:48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50"/>
      <c r="AQ897" s="50"/>
      <c r="AR897" s="1"/>
      <c r="AS897" s="1"/>
      <c r="AT897" s="1"/>
      <c r="AU897" s="1"/>
      <c r="AV897" s="1"/>
    </row>
    <row r="898" spans="1:48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50"/>
      <c r="AQ898" s="50"/>
      <c r="AR898" s="1"/>
      <c r="AS898" s="1"/>
      <c r="AT898" s="1"/>
      <c r="AU898" s="1"/>
      <c r="AV898" s="1"/>
    </row>
    <row r="899" spans="1:48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50"/>
      <c r="AQ899" s="50"/>
      <c r="AR899" s="1"/>
      <c r="AS899" s="1"/>
      <c r="AT899" s="1"/>
      <c r="AU899" s="1"/>
      <c r="AV899" s="1"/>
    </row>
    <row r="900" spans="1:48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50"/>
      <c r="AQ900" s="50"/>
      <c r="AR900" s="1"/>
      <c r="AS900" s="1"/>
      <c r="AT900" s="1"/>
      <c r="AU900" s="1"/>
      <c r="AV900" s="1"/>
    </row>
    <row r="901" spans="1:48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50"/>
      <c r="AQ901" s="50"/>
      <c r="AR901" s="1"/>
      <c r="AS901" s="1"/>
      <c r="AT901" s="1"/>
      <c r="AU901" s="1"/>
      <c r="AV901" s="1"/>
    </row>
    <row r="902" spans="1:48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50"/>
      <c r="AQ902" s="50"/>
      <c r="AR902" s="1"/>
      <c r="AS902" s="1"/>
      <c r="AT902" s="1"/>
      <c r="AU902" s="1"/>
      <c r="AV902" s="1"/>
    </row>
    <row r="903" spans="1:48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50"/>
      <c r="AQ903" s="50"/>
      <c r="AR903" s="1"/>
      <c r="AS903" s="1"/>
      <c r="AT903" s="1"/>
      <c r="AU903" s="1"/>
      <c r="AV903" s="1"/>
    </row>
    <row r="904" spans="1:48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50"/>
      <c r="AQ904" s="50"/>
      <c r="AR904" s="1"/>
      <c r="AS904" s="1"/>
      <c r="AT904" s="1"/>
      <c r="AU904" s="1"/>
      <c r="AV904" s="1"/>
    </row>
    <row r="905" spans="1:48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50"/>
      <c r="AQ905" s="50"/>
      <c r="AR905" s="1"/>
      <c r="AS905" s="1"/>
      <c r="AT905" s="1"/>
      <c r="AU905" s="1"/>
      <c r="AV905" s="1"/>
    </row>
    <row r="906" spans="1:48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50"/>
      <c r="AQ906" s="50"/>
      <c r="AR906" s="1"/>
      <c r="AS906" s="1"/>
      <c r="AT906" s="1"/>
      <c r="AU906" s="1"/>
      <c r="AV906" s="1"/>
    </row>
    <row r="907" spans="1:48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50"/>
      <c r="AQ907" s="50"/>
      <c r="AR907" s="1"/>
      <c r="AS907" s="1"/>
      <c r="AT907" s="1"/>
      <c r="AU907" s="1"/>
      <c r="AV907" s="1"/>
    </row>
    <row r="908" spans="1:48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50"/>
      <c r="AQ908" s="50"/>
      <c r="AR908" s="1"/>
      <c r="AS908" s="1"/>
      <c r="AT908" s="1"/>
      <c r="AU908" s="1"/>
      <c r="AV908" s="1"/>
    </row>
    <row r="909" spans="1:48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50"/>
      <c r="AQ909" s="50"/>
      <c r="AR909" s="1"/>
      <c r="AS909" s="1"/>
      <c r="AT909" s="1"/>
      <c r="AU909" s="1"/>
      <c r="AV909" s="1"/>
    </row>
    <row r="910" spans="1:48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50"/>
      <c r="AQ910" s="50"/>
      <c r="AR910" s="1"/>
      <c r="AS910" s="1"/>
      <c r="AT910" s="1"/>
      <c r="AU910" s="1"/>
      <c r="AV910" s="1"/>
    </row>
    <row r="911" spans="1:48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50"/>
      <c r="AQ911" s="50"/>
      <c r="AR911" s="1"/>
      <c r="AS911" s="1"/>
      <c r="AT911" s="1"/>
      <c r="AU911" s="1"/>
      <c r="AV911" s="1"/>
    </row>
    <row r="912" spans="1:48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50"/>
      <c r="AQ912" s="50"/>
      <c r="AR912" s="1"/>
      <c r="AS912" s="1"/>
      <c r="AT912" s="1"/>
      <c r="AU912" s="1"/>
      <c r="AV912" s="1"/>
    </row>
    <row r="913" spans="1:48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50"/>
      <c r="AQ913" s="50"/>
      <c r="AR913" s="1"/>
      <c r="AS913" s="1"/>
      <c r="AT913" s="1"/>
      <c r="AU913" s="1"/>
      <c r="AV913" s="1"/>
    </row>
    <row r="914" spans="1:48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50"/>
      <c r="AQ914" s="50"/>
      <c r="AR914" s="1"/>
      <c r="AS914" s="1"/>
      <c r="AT914" s="1"/>
      <c r="AU914" s="1"/>
      <c r="AV914" s="1"/>
    </row>
    <row r="915" spans="1:48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50"/>
      <c r="AQ915" s="50"/>
      <c r="AR915" s="1"/>
      <c r="AS915" s="1"/>
      <c r="AT915" s="1"/>
      <c r="AU915" s="1"/>
      <c r="AV915" s="1"/>
    </row>
    <row r="916" spans="1:48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50"/>
      <c r="AQ916" s="50"/>
      <c r="AR916" s="1"/>
      <c r="AS916" s="1"/>
      <c r="AT916" s="1"/>
      <c r="AU916" s="1"/>
      <c r="AV916" s="1"/>
    </row>
    <row r="917" spans="1:48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50"/>
      <c r="AQ917" s="50"/>
      <c r="AR917" s="1"/>
      <c r="AS917" s="1"/>
      <c r="AT917" s="1"/>
      <c r="AU917" s="1"/>
      <c r="AV917" s="1"/>
    </row>
    <row r="918" spans="1:48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50"/>
      <c r="AQ918" s="50"/>
      <c r="AR918" s="1"/>
      <c r="AS918" s="1"/>
      <c r="AT918" s="1"/>
      <c r="AU918" s="1"/>
      <c r="AV918" s="1"/>
    </row>
    <row r="919" spans="1:48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50"/>
      <c r="AQ919" s="50"/>
      <c r="AR919" s="1"/>
      <c r="AS919" s="1"/>
      <c r="AT919" s="1"/>
      <c r="AU919" s="1"/>
      <c r="AV919" s="1"/>
    </row>
    <row r="920" spans="1:48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50"/>
      <c r="AQ920" s="50"/>
      <c r="AR920" s="1"/>
      <c r="AS920" s="1"/>
      <c r="AT920" s="1"/>
      <c r="AU920" s="1"/>
      <c r="AV920" s="1"/>
    </row>
    <row r="921" spans="1:48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50"/>
      <c r="AQ921" s="50"/>
      <c r="AR921" s="1"/>
      <c r="AS921" s="1"/>
      <c r="AT921" s="1"/>
      <c r="AU921" s="1"/>
      <c r="AV921" s="1"/>
    </row>
    <row r="922" spans="1:48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50"/>
      <c r="AQ922" s="50"/>
      <c r="AR922" s="1"/>
      <c r="AS922" s="1"/>
      <c r="AT922" s="1"/>
      <c r="AU922" s="1"/>
      <c r="AV922" s="1"/>
    </row>
    <row r="923" spans="1:48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50"/>
      <c r="AQ923" s="50"/>
      <c r="AR923" s="1"/>
      <c r="AS923" s="1"/>
      <c r="AT923" s="1"/>
      <c r="AU923" s="1"/>
      <c r="AV923" s="1"/>
    </row>
    <row r="924" spans="1:48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50"/>
      <c r="AQ924" s="50"/>
      <c r="AR924" s="1"/>
      <c r="AS924" s="1"/>
      <c r="AT924" s="1"/>
      <c r="AU924" s="1"/>
      <c r="AV924" s="1"/>
    </row>
    <row r="925" spans="1:48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50"/>
      <c r="AQ925" s="50"/>
      <c r="AR925" s="1"/>
      <c r="AS925" s="1"/>
      <c r="AT925" s="1"/>
      <c r="AU925" s="1"/>
      <c r="AV925" s="1"/>
    </row>
    <row r="926" spans="1:48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50"/>
      <c r="AQ926" s="50"/>
      <c r="AR926" s="1"/>
      <c r="AS926" s="1"/>
      <c r="AT926" s="1"/>
      <c r="AU926" s="1"/>
      <c r="AV926" s="1"/>
    </row>
    <row r="927" spans="1:48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50"/>
      <c r="AQ927" s="50"/>
      <c r="AR927" s="1"/>
      <c r="AS927" s="1"/>
      <c r="AT927" s="1"/>
      <c r="AU927" s="1"/>
      <c r="AV927" s="1"/>
    </row>
    <row r="928" spans="1:48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50"/>
      <c r="AQ928" s="50"/>
      <c r="AR928" s="1"/>
      <c r="AS928" s="1"/>
      <c r="AT928" s="1"/>
      <c r="AU928" s="1"/>
      <c r="AV928" s="1"/>
    </row>
    <row r="929" spans="1:48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50"/>
      <c r="AQ929" s="50"/>
      <c r="AR929" s="1"/>
      <c r="AS929" s="1"/>
      <c r="AT929" s="1"/>
      <c r="AU929" s="1"/>
      <c r="AV929" s="1"/>
    </row>
    <row r="930" spans="1:48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50"/>
      <c r="AQ930" s="50"/>
      <c r="AR930" s="1"/>
      <c r="AS930" s="1"/>
      <c r="AT930" s="1"/>
      <c r="AU930" s="1"/>
      <c r="AV930" s="1"/>
    </row>
    <row r="931" spans="1:48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50"/>
      <c r="AQ931" s="50"/>
      <c r="AR931" s="1"/>
      <c r="AS931" s="1"/>
      <c r="AT931" s="1"/>
      <c r="AU931" s="1"/>
      <c r="AV931" s="1"/>
    </row>
    <row r="932" spans="1:48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50"/>
      <c r="AQ932" s="50"/>
      <c r="AR932" s="1"/>
      <c r="AS932" s="1"/>
      <c r="AT932" s="1"/>
      <c r="AU932" s="1"/>
      <c r="AV932" s="1"/>
    </row>
    <row r="933" spans="1:48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50"/>
      <c r="AQ933" s="50"/>
      <c r="AR933" s="1"/>
      <c r="AS933" s="1"/>
      <c r="AT933" s="1"/>
      <c r="AU933" s="1"/>
      <c r="AV933" s="1"/>
    </row>
    <row r="934" spans="1:48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50"/>
      <c r="AQ934" s="50"/>
      <c r="AR934" s="1"/>
      <c r="AS934" s="1"/>
      <c r="AT934" s="1"/>
      <c r="AU934" s="1"/>
      <c r="AV934" s="1"/>
    </row>
    <row r="935" spans="1:48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50"/>
      <c r="AQ935" s="50"/>
      <c r="AR935" s="1"/>
      <c r="AS935" s="1"/>
      <c r="AT935" s="1"/>
      <c r="AU935" s="1"/>
      <c r="AV935" s="1"/>
    </row>
    <row r="936" spans="1:48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50"/>
      <c r="AQ936" s="50"/>
      <c r="AR936" s="1"/>
      <c r="AS936" s="1"/>
      <c r="AT936" s="1"/>
      <c r="AU936" s="1"/>
      <c r="AV936" s="1"/>
    </row>
    <row r="937" spans="1:48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50"/>
      <c r="AQ937" s="50"/>
      <c r="AR937" s="1"/>
      <c r="AS937" s="1"/>
      <c r="AT937" s="1"/>
      <c r="AU937" s="1"/>
      <c r="AV937" s="1"/>
    </row>
    <row r="938" spans="1:48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50"/>
      <c r="AQ938" s="50"/>
      <c r="AR938" s="1"/>
      <c r="AS938" s="1"/>
      <c r="AT938" s="1"/>
      <c r="AU938" s="1"/>
      <c r="AV938" s="1"/>
    </row>
    <row r="939" spans="1:48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50"/>
      <c r="AQ939" s="50"/>
      <c r="AR939" s="1"/>
      <c r="AS939" s="1"/>
      <c r="AT939" s="1"/>
      <c r="AU939" s="1"/>
      <c r="AV939" s="1"/>
    </row>
    <row r="940" spans="1:48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50"/>
      <c r="AQ940" s="50"/>
      <c r="AR940" s="1"/>
      <c r="AS940" s="1"/>
      <c r="AT940" s="1"/>
      <c r="AU940" s="1"/>
      <c r="AV940" s="1"/>
    </row>
    <row r="941" spans="1:48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50"/>
      <c r="AQ941" s="50"/>
      <c r="AR941" s="1"/>
      <c r="AS941" s="1"/>
      <c r="AT941" s="1"/>
      <c r="AU941" s="1"/>
      <c r="AV941" s="1"/>
    </row>
    <row r="942" spans="1:48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50"/>
      <c r="AQ942" s="50"/>
      <c r="AR942" s="1"/>
      <c r="AS942" s="1"/>
      <c r="AT942" s="1"/>
      <c r="AU942" s="1"/>
      <c r="AV942" s="1"/>
    </row>
    <row r="943" spans="1:48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50"/>
      <c r="AQ943" s="50"/>
      <c r="AR943" s="1"/>
      <c r="AS943" s="1"/>
      <c r="AT943" s="1"/>
      <c r="AU943" s="1"/>
      <c r="AV943" s="1"/>
    </row>
    <row r="944" spans="1:48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50"/>
      <c r="AQ944" s="50"/>
      <c r="AR944" s="1"/>
      <c r="AS944" s="1"/>
      <c r="AT944" s="1"/>
      <c r="AU944" s="1"/>
      <c r="AV944" s="1"/>
    </row>
    <row r="945" spans="1:48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50"/>
      <c r="AQ945" s="50"/>
      <c r="AR945" s="1"/>
      <c r="AS945" s="1"/>
      <c r="AT945" s="1"/>
      <c r="AU945" s="1"/>
      <c r="AV945" s="1"/>
    </row>
    <row r="946" spans="1:48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50"/>
      <c r="AQ946" s="50"/>
      <c r="AR946" s="1"/>
      <c r="AS946" s="1"/>
      <c r="AT946" s="1"/>
      <c r="AU946" s="1"/>
      <c r="AV946" s="1"/>
    </row>
    <row r="947" spans="1:48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50"/>
      <c r="AQ947" s="50"/>
      <c r="AR947" s="1"/>
      <c r="AS947" s="1"/>
      <c r="AT947" s="1"/>
      <c r="AU947" s="1"/>
      <c r="AV947" s="1"/>
    </row>
    <row r="948" spans="1:48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50"/>
      <c r="AQ948" s="50"/>
      <c r="AR948" s="1"/>
      <c r="AS948" s="1"/>
      <c r="AT948" s="1"/>
      <c r="AU948" s="1"/>
      <c r="AV948" s="1"/>
    </row>
    <row r="949" spans="1:48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50"/>
      <c r="AQ949" s="50"/>
      <c r="AR949" s="1"/>
      <c r="AS949" s="1"/>
      <c r="AT949" s="1"/>
      <c r="AU949" s="1"/>
      <c r="AV949" s="1"/>
    </row>
    <row r="950" spans="1:48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50"/>
      <c r="AQ950" s="50"/>
      <c r="AR950" s="1"/>
      <c r="AS950" s="1"/>
      <c r="AT950" s="1"/>
      <c r="AU950" s="1"/>
      <c r="AV950" s="1"/>
    </row>
    <row r="951" spans="1:48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50"/>
      <c r="AQ951" s="50"/>
      <c r="AR951" s="1"/>
      <c r="AS951" s="1"/>
      <c r="AT951" s="1"/>
      <c r="AU951" s="1"/>
      <c r="AV951" s="1"/>
    </row>
    <row r="952" spans="1:48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50"/>
      <c r="AQ952" s="50"/>
      <c r="AR952" s="1"/>
      <c r="AS952" s="1"/>
      <c r="AT952" s="1"/>
      <c r="AU952" s="1"/>
      <c r="AV952" s="1"/>
    </row>
    <row r="953" spans="1:48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50"/>
      <c r="AQ953" s="50"/>
      <c r="AR953" s="1"/>
      <c r="AS953" s="1"/>
      <c r="AT953" s="1"/>
      <c r="AU953" s="1"/>
      <c r="AV953" s="1"/>
    </row>
    <row r="954" spans="1:48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50"/>
      <c r="AQ954" s="50"/>
      <c r="AR954" s="1"/>
      <c r="AS954" s="1"/>
      <c r="AT954" s="1"/>
      <c r="AU954" s="1"/>
      <c r="AV954" s="1"/>
    </row>
    <row r="955" spans="1:48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50"/>
      <c r="AQ955" s="50"/>
      <c r="AR955" s="1"/>
      <c r="AS955" s="1"/>
      <c r="AT955" s="1"/>
      <c r="AU955" s="1"/>
      <c r="AV955" s="1"/>
    </row>
    <row r="956" spans="1:48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50"/>
      <c r="AQ956" s="50"/>
      <c r="AR956" s="1"/>
      <c r="AS956" s="1"/>
      <c r="AT956" s="1"/>
      <c r="AU956" s="1"/>
      <c r="AV956" s="1"/>
    </row>
    <row r="957" spans="1:48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50"/>
      <c r="AQ957" s="50"/>
      <c r="AR957" s="1"/>
      <c r="AS957" s="1"/>
      <c r="AT957" s="1"/>
      <c r="AU957" s="1"/>
      <c r="AV957" s="1"/>
    </row>
    <row r="958" spans="1:48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50"/>
      <c r="AQ958" s="50"/>
      <c r="AR958" s="1"/>
      <c r="AS958" s="1"/>
      <c r="AT958" s="1"/>
      <c r="AU958" s="1"/>
      <c r="AV958" s="1"/>
    </row>
    <row r="959" spans="1:48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50"/>
      <c r="AQ959" s="50"/>
      <c r="AR959" s="1"/>
      <c r="AS959" s="1"/>
      <c r="AT959" s="1"/>
      <c r="AU959" s="1"/>
      <c r="AV959" s="1"/>
    </row>
    <row r="960" spans="1:48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50"/>
      <c r="AQ960" s="50"/>
      <c r="AR960" s="1"/>
      <c r="AS960" s="1"/>
      <c r="AT960" s="1"/>
      <c r="AU960" s="1"/>
      <c r="AV960" s="1"/>
    </row>
    <row r="961" spans="1:48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50"/>
      <c r="AQ961" s="50"/>
      <c r="AR961" s="1"/>
      <c r="AS961" s="1"/>
      <c r="AT961" s="1"/>
      <c r="AU961" s="1"/>
      <c r="AV961" s="1"/>
    </row>
    <row r="962" spans="1:48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50"/>
      <c r="AQ962" s="50"/>
      <c r="AR962" s="1"/>
      <c r="AS962" s="1"/>
      <c r="AT962" s="1"/>
      <c r="AU962" s="1"/>
      <c r="AV962" s="1"/>
    </row>
    <row r="963" spans="1:48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50"/>
      <c r="AQ963" s="50"/>
      <c r="AR963" s="1"/>
      <c r="AS963" s="1"/>
      <c r="AT963" s="1"/>
      <c r="AU963" s="1"/>
      <c r="AV963" s="1"/>
    </row>
    <row r="964" spans="1:48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50"/>
      <c r="AQ964" s="50"/>
      <c r="AR964" s="1"/>
      <c r="AS964" s="1"/>
      <c r="AT964" s="1"/>
      <c r="AU964" s="1"/>
      <c r="AV964" s="1"/>
    </row>
    <row r="965" spans="1:48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50"/>
      <c r="AQ965" s="50"/>
      <c r="AR965" s="1"/>
      <c r="AS965" s="1"/>
      <c r="AT965" s="1"/>
      <c r="AU965" s="1"/>
      <c r="AV965" s="1"/>
    </row>
    <row r="966" spans="1:48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50"/>
      <c r="AQ966" s="50"/>
      <c r="AR966" s="1"/>
      <c r="AS966" s="1"/>
      <c r="AT966" s="1"/>
      <c r="AU966" s="1"/>
      <c r="AV966" s="1"/>
    </row>
    <row r="967" spans="1:48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50"/>
      <c r="AQ967" s="50"/>
      <c r="AR967" s="1"/>
      <c r="AS967" s="1"/>
      <c r="AT967" s="1"/>
      <c r="AU967" s="1"/>
      <c r="AV967" s="1"/>
    </row>
    <row r="968" spans="1:48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50"/>
      <c r="AQ968" s="50"/>
      <c r="AR968" s="1"/>
      <c r="AS968" s="1"/>
      <c r="AT968" s="1"/>
      <c r="AU968" s="1"/>
      <c r="AV968" s="1"/>
    </row>
    <row r="969" spans="1:48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50"/>
      <c r="AQ969" s="50"/>
      <c r="AR969" s="1"/>
      <c r="AS969" s="1"/>
      <c r="AT969" s="1"/>
      <c r="AU969" s="1"/>
      <c r="AV969" s="1"/>
    </row>
    <row r="970" spans="1:48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50"/>
      <c r="AQ970" s="50"/>
      <c r="AR970" s="1"/>
      <c r="AS970" s="1"/>
      <c r="AT970" s="1"/>
      <c r="AU970" s="1"/>
      <c r="AV970" s="1"/>
    </row>
    <row r="971" spans="1:48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50"/>
      <c r="AQ971" s="50"/>
      <c r="AR971" s="1"/>
      <c r="AS971" s="1"/>
      <c r="AT971" s="1"/>
      <c r="AU971" s="1"/>
      <c r="AV971" s="1"/>
    </row>
    <row r="972" spans="1:48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50"/>
      <c r="AQ972" s="50"/>
      <c r="AR972" s="1"/>
      <c r="AS972" s="1"/>
      <c r="AT972" s="1"/>
      <c r="AU972" s="1"/>
      <c r="AV972" s="1"/>
    </row>
    <row r="973" spans="1:48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50"/>
      <c r="AQ973" s="50"/>
      <c r="AR973" s="1"/>
      <c r="AS973" s="1"/>
      <c r="AT973" s="1"/>
      <c r="AU973" s="1"/>
      <c r="AV973" s="1"/>
    </row>
    <row r="974" spans="1:48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50"/>
      <c r="AQ974" s="50"/>
      <c r="AR974" s="1"/>
      <c r="AS974" s="1"/>
      <c r="AT974" s="1"/>
      <c r="AU974" s="1"/>
      <c r="AV974" s="1"/>
    </row>
    <row r="975" spans="1:48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50"/>
      <c r="AQ975" s="50"/>
      <c r="AR975" s="1"/>
      <c r="AS975" s="1"/>
      <c r="AT975" s="1"/>
      <c r="AU975" s="1"/>
      <c r="AV975" s="1"/>
    </row>
    <row r="976" spans="1:48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50"/>
      <c r="AQ976" s="50"/>
      <c r="AR976" s="1"/>
      <c r="AS976" s="1"/>
      <c r="AT976" s="1"/>
      <c r="AU976" s="1"/>
      <c r="AV976" s="1"/>
    </row>
    <row r="977" spans="1:48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50"/>
      <c r="AQ977" s="50"/>
      <c r="AR977" s="1"/>
      <c r="AS977" s="1"/>
      <c r="AT977" s="1"/>
      <c r="AU977" s="1"/>
      <c r="AV977" s="1"/>
    </row>
    <row r="978" spans="1:48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50"/>
      <c r="AQ978" s="50"/>
      <c r="AR978" s="1"/>
      <c r="AS978" s="1"/>
      <c r="AT978" s="1"/>
      <c r="AU978" s="1"/>
      <c r="AV978" s="1"/>
    </row>
    <row r="979" spans="1:48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50"/>
      <c r="AQ979" s="50"/>
      <c r="AR979" s="1"/>
      <c r="AS979" s="1"/>
      <c r="AT979" s="1"/>
      <c r="AU979" s="1"/>
      <c r="AV979" s="1"/>
    </row>
    <row r="980" spans="1:48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50"/>
      <c r="AQ980" s="50"/>
      <c r="AR980" s="1"/>
      <c r="AS980" s="1"/>
      <c r="AT980" s="1"/>
      <c r="AU980" s="1"/>
      <c r="AV980" s="1"/>
    </row>
    <row r="981" spans="1:48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50"/>
      <c r="AQ981" s="50"/>
      <c r="AR981" s="1"/>
      <c r="AS981" s="1"/>
      <c r="AT981" s="1"/>
      <c r="AU981" s="1"/>
      <c r="AV981" s="1"/>
    </row>
    <row r="982" spans="1:48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50"/>
      <c r="AQ982" s="50"/>
      <c r="AR982" s="1"/>
      <c r="AS982" s="1"/>
      <c r="AT982" s="1"/>
      <c r="AU982" s="1"/>
      <c r="AV982" s="1"/>
    </row>
    <row r="983" spans="1:48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50"/>
      <c r="AQ983" s="50"/>
      <c r="AR983" s="1"/>
      <c r="AS983" s="1"/>
      <c r="AT983" s="1"/>
      <c r="AU983" s="1"/>
      <c r="AV983" s="1"/>
    </row>
    <row r="984" spans="1:48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50"/>
      <c r="AQ984" s="50"/>
      <c r="AR984" s="1"/>
      <c r="AS984" s="1"/>
      <c r="AT984" s="1"/>
      <c r="AU984" s="1"/>
      <c r="AV984" s="1"/>
    </row>
    <row r="985" spans="1:48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50"/>
      <c r="AQ985" s="50"/>
      <c r="AR985" s="1"/>
      <c r="AS985" s="1"/>
      <c r="AT985" s="1"/>
      <c r="AU985" s="1"/>
      <c r="AV985" s="1"/>
    </row>
    <row r="986" spans="1:48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50"/>
      <c r="AQ986" s="50"/>
      <c r="AR986" s="1"/>
      <c r="AS986" s="1"/>
      <c r="AT986" s="1"/>
      <c r="AU986" s="1"/>
      <c r="AV986" s="1"/>
    </row>
    <row r="987" spans="1:48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50"/>
      <c r="AQ987" s="50"/>
      <c r="AR987" s="1"/>
      <c r="AS987" s="1"/>
      <c r="AT987" s="1"/>
      <c r="AU987" s="1"/>
      <c r="AV987" s="1"/>
    </row>
    <row r="988" spans="1:48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50"/>
      <c r="AQ988" s="50"/>
      <c r="AR988" s="1"/>
      <c r="AS988" s="1"/>
      <c r="AT988" s="1"/>
      <c r="AU988" s="1"/>
      <c r="AV988" s="1"/>
    </row>
    <row r="989" spans="1:48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50"/>
      <c r="AQ989" s="50"/>
      <c r="AR989" s="1"/>
      <c r="AS989" s="1"/>
      <c r="AT989" s="1"/>
      <c r="AU989" s="1"/>
      <c r="AV989" s="1"/>
    </row>
    <row r="990" spans="1:48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50"/>
      <c r="AQ990" s="50"/>
      <c r="AR990" s="1"/>
      <c r="AS990" s="1"/>
      <c r="AT990" s="1"/>
      <c r="AU990" s="1"/>
      <c r="AV990" s="1"/>
    </row>
    <row r="991" spans="1:48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50"/>
      <c r="AQ991" s="50"/>
      <c r="AR991" s="1"/>
      <c r="AS991" s="1"/>
      <c r="AT991" s="1"/>
      <c r="AU991" s="1"/>
      <c r="AV991" s="1"/>
    </row>
  </sheetData>
  <autoFilter ref="A1:AV219" xr:uid="{00000000-0001-0000-0000-000000000000}">
    <sortState ref="A2:AV219">
      <sortCondition sortBy="cellColor" ref="D1:D219" dxfId="13"/>
    </sortState>
  </autoFilter>
  <conditionalFormatting sqref="A1:XFD1">
    <cfRule type="duplicateValues" dxfId="12" priority="3"/>
  </conditionalFormatting>
  <conditionalFormatting sqref="D1:D1048576">
    <cfRule type="duplicateValues" dxfId="11" priority="2"/>
  </conditionalFormatting>
  <conditionalFormatting sqref="D1:D219">
    <cfRule type="duplicateValues" dxfId="10" priority="1"/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8778-B962-4C7A-A0CC-18E91F45D338}">
  <dimension ref="A1:AS991"/>
  <sheetViews>
    <sheetView tabSelected="1" topLeftCell="D1" workbookViewId="0">
      <selection activeCell="E40" sqref="E40"/>
    </sheetView>
  </sheetViews>
  <sheetFormatPr defaultColWidth="9.109375" defaultRowHeight="14.4" x14ac:dyDescent="0.3"/>
  <cols>
    <col min="1" max="1" width="18.109375" style="53" bestFit="1" customWidth="1"/>
    <col min="2" max="2" width="6.5546875" style="53" customWidth="1"/>
    <col min="3" max="3" width="8.6640625" style="75" customWidth="1"/>
    <col min="4" max="4" width="18.5546875" style="53" bestFit="1" customWidth="1"/>
    <col min="5" max="5" width="23.21875" style="53" customWidth="1"/>
    <col min="6" max="23" width="0" style="53" hidden="1" customWidth="1"/>
    <col min="24" max="24" width="13.88671875" style="53" customWidth="1"/>
    <col min="25" max="27" width="9.109375" style="53"/>
    <col min="28" max="28" width="18.44140625" style="53" bestFit="1" customWidth="1"/>
    <col min="29" max="29" width="12.33203125" style="53" bestFit="1" customWidth="1"/>
    <col min="30" max="30" width="25.44140625" style="53" customWidth="1"/>
    <col min="31" max="31" width="19.44140625" style="53" customWidth="1"/>
    <col min="32" max="32" width="7.5546875" style="53" customWidth="1"/>
    <col min="33" max="33" width="9.88671875" style="53" customWidth="1"/>
    <col min="34" max="34" width="8.6640625" style="53" customWidth="1"/>
    <col min="35" max="35" width="15.33203125" style="53" customWidth="1"/>
    <col min="36" max="36" width="9.33203125" style="53" customWidth="1"/>
    <col min="37" max="41" width="9.109375" style="53"/>
    <col min="42" max="42" width="9.6640625" style="53" customWidth="1"/>
    <col min="43" max="16384" width="9.109375" style="53"/>
  </cols>
  <sheetData>
    <row r="1" spans="1:45" s="78" customFormat="1" ht="13.8" x14ac:dyDescent="0.3">
      <c r="A1" s="78" t="s">
        <v>869</v>
      </c>
      <c r="B1" s="76" t="s">
        <v>2</v>
      </c>
      <c r="C1" s="76" t="s">
        <v>3</v>
      </c>
      <c r="D1" s="82" t="s">
        <v>951</v>
      </c>
      <c r="E1" s="82"/>
      <c r="F1" s="84" t="s">
        <v>958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3" t="s">
        <v>768</v>
      </c>
      <c r="Y1" s="83"/>
      <c r="Z1" s="83" t="s">
        <v>183</v>
      </c>
      <c r="AA1" s="83"/>
      <c r="AB1" s="78" t="s">
        <v>959</v>
      </c>
      <c r="AC1" s="78" t="s">
        <v>960</v>
      </c>
      <c r="AD1" s="54" t="s">
        <v>31</v>
      </c>
      <c r="AE1" s="54" t="s">
        <v>30</v>
      </c>
      <c r="AF1" s="54" t="s">
        <v>7</v>
      </c>
      <c r="AG1" s="54" t="s">
        <v>953</v>
      </c>
      <c r="AH1" s="77" t="s">
        <v>9</v>
      </c>
      <c r="AI1" s="84" t="s">
        <v>954</v>
      </c>
      <c r="AJ1" s="84"/>
      <c r="AK1" s="84"/>
      <c r="AL1" s="84" t="s">
        <v>955</v>
      </c>
      <c r="AM1" s="84"/>
      <c r="AN1" s="84"/>
      <c r="AO1" s="84"/>
      <c r="AP1" s="84"/>
      <c r="AQ1" s="84"/>
      <c r="AR1" s="84"/>
      <c r="AS1" s="84"/>
    </row>
    <row r="2" spans="1:45" s="79" customFormat="1" ht="13.8" x14ac:dyDescent="0.3">
      <c r="D2" s="79" t="s">
        <v>706</v>
      </c>
      <c r="E2" s="79" t="s">
        <v>952</v>
      </c>
      <c r="F2" s="80" t="s">
        <v>10</v>
      </c>
      <c r="G2" s="80" t="s">
        <v>11</v>
      </c>
      <c r="H2" s="80" t="s">
        <v>12</v>
      </c>
      <c r="I2" s="80" t="s">
        <v>13</v>
      </c>
      <c r="J2" s="80" t="s">
        <v>14</v>
      </c>
      <c r="K2" s="80" t="s">
        <v>15</v>
      </c>
      <c r="L2" s="80" t="s">
        <v>16</v>
      </c>
      <c r="M2" s="80" t="s">
        <v>15</v>
      </c>
      <c r="N2" s="80" t="s">
        <v>17</v>
      </c>
      <c r="O2" s="80" t="s">
        <v>15</v>
      </c>
      <c r="P2" s="80" t="s">
        <v>18</v>
      </c>
      <c r="Q2" s="80" t="s">
        <v>15</v>
      </c>
      <c r="R2" s="80" t="s">
        <v>19</v>
      </c>
      <c r="S2" s="80" t="s">
        <v>15</v>
      </c>
      <c r="T2" s="80" t="s">
        <v>20</v>
      </c>
      <c r="U2" s="80" t="s">
        <v>15</v>
      </c>
      <c r="V2" s="80" t="s">
        <v>21</v>
      </c>
      <c r="W2" s="80" t="s">
        <v>15</v>
      </c>
      <c r="AI2" s="81" t="s">
        <v>5</v>
      </c>
      <c r="AJ2" s="79" t="s">
        <v>23</v>
      </c>
      <c r="AK2" s="79" t="s">
        <v>24</v>
      </c>
      <c r="AL2" s="79" t="s">
        <v>25</v>
      </c>
      <c r="AM2" s="79" t="s">
        <v>26</v>
      </c>
      <c r="AN2" s="79" t="s">
        <v>27</v>
      </c>
      <c r="AO2" s="79" t="s">
        <v>28</v>
      </c>
      <c r="AP2" s="79" t="s">
        <v>29</v>
      </c>
      <c r="AQ2" s="79" t="s">
        <v>956</v>
      </c>
      <c r="AR2" s="81" t="s">
        <v>32</v>
      </c>
      <c r="AS2" s="81" t="s">
        <v>957</v>
      </c>
    </row>
    <row r="3" spans="1:45" x14ac:dyDescent="0.3">
      <c r="A3" s="53" t="s">
        <v>66</v>
      </c>
      <c r="B3" s="55" t="s">
        <v>36</v>
      </c>
      <c r="C3" s="55">
        <v>42</v>
      </c>
      <c r="D3" s="56">
        <v>44894</v>
      </c>
      <c r="F3" s="55" t="s">
        <v>39</v>
      </c>
      <c r="G3" s="55">
        <v>36</v>
      </c>
      <c r="H3" s="55" t="s">
        <v>38</v>
      </c>
      <c r="I3" s="55" t="s">
        <v>70</v>
      </c>
      <c r="J3" s="55" t="s">
        <v>41</v>
      </c>
      <c r="K3" s="55" t="s">
        <v>69</v>
      </c>
      <c r="L3" s="55" t="s">
        <v>41</v>
      </c>
      <c r="M3" s="55" t="s">
        <v>69</v>
      </c>
      <c r="N3" s="55" t="s">
        <v>41</v>
      </c>
      <c r="O3" s="55" t="s">
        <v>69</v>
      </c>
      <c r="P3" s="55" t="s">
        <v>41</v>
      </c>
      <c r="Q3" s="55" t="s">
        <v>69</v>
      </c>
      <c r="R3" s="55" t="s">
        <v>41</v>
      </c>
      <c r="S3" s="55" t="s">
        <v>69</v>
      </c>
      <c r="T3" s="55" t="s">
        <v>41</v>
      </c>
      <c r="U3" s="55" t="s">
        <v>69</v>
      </c>
      <c r="V3" s="55" t="s">
        <v>41</v>
      </c>
      <c r="W3" s="55" t="s">
        <v>69</v>
      </c>
      <c r="AD3" s="55" t="s">
        <v>72</v>
      </c>
      <c r="AE3" s="55" t="s">
        <v>41</v>
      </c>
      <c r="AF3" s="55">
        <v>80</v>
      </c>
      <c r="AG3" s="53">
        <v>1.73</v>
      </c>
      <c r="AH3" s="55">
        <v>26.729927495071667</v>
      </c>
      <c r="AI3" s="55" t="s">
        <v>68</v>
      </c>
      <c r="AJ3" s="53" t="s">
        <v>41</v>
      </c>
      <c r="AK3" s="53" t="s">
        <v>41</v>
      </c>
      <c r="AL3" s="53" t="s">
        <v>41</v>
      </c>
      <c r="AM3" s="53" t="s">
        <v>41</v>
      </c>
      <c r="AN3" s="53" t="s">
        <v>41</v>
      </c>
      <c r="AP3" s="53" t="s">
        <v>41</v>
      </c>
      <c r="AR3" s="55">
        <v>4</v>
      </c>
      <c r="AS3" s="55">
        <v>2</v>
      </c>
    </row>
    <row r="4" spans="1:45" x14ac:dyDescent="0.3">
      <c r="A4" s="53" t="s">
        <v>73</v>
      </c>
      <c r="B4" s="55" t="s">
        <v>36</v>
      </c>
      <c r="C4" s="55">
        <v>29</v>
      </c>
      <c r="D4" s="57">
        <v>44705</v>
      </c>
      <c r="E4" s="53" t="s">
        <v>961</v>
      </c>
      <c r="F4" s="55" t="s">
        <v>69</v>
      </c>
      <c r="G4" s="55" t="s">
        <v>69</v>
      </c>
      <c r="H4" s="55" t="s">
        <v>38</v>
      </c>
      <c r="I4" s="55" t="s">
        <v>65</v>
      </c>
      <c r="J4" s="55" t="s">
        <v>41</v>
      </c>
      <c r="K4" s="55" t="s">
        <v>65</v>
      </c>
      <c r="L4" s="55" t="s">
        <v>41</v>
      </c>
      <c r="M4" s="55" t="s">
        <v>65</v>
      </c>
      <c r="N4" s="55" t="s">
        <v>41</v>
      </c>
      <c r="O4" s="55" t="s">
        <v>65</v>
      </c>
      <c r="P4" s="55" t="s">
        <v>41</v>
      </c>
      <c r="Q4" s="55"/>
      <c r="R4" s="55" t="s">
        <v>41</v>
      </c>
      <c r="S4" s="55"/>
      <c r="T4" s="55" t="s">
        <v>41</v>
      </c>
      <c r="U4" s="55"/>
      <c r="V4" s="55" t="s">
        <v>41</v>
      </c>
      <c r="W4" s="55"/>
      <c r="AD4" s="55" t="s">
        <v>72</v>
      </c>
      <c r="AE4" s="55" t="s">
        <v>79</v>
      </c>
      <c r="AF4" s="55" t="s">
        <v>69</v>
      </c>
      <c r="AG4" s="55" t="e">
        <v>#VALUE!</v>
      </c>
      <c r="AH4" s="55" t="e">
        <v>#VALUE!</v>
      </c>
      <c r="AI4" s="55" t="s">
        <v>37</v>
      </c>
      <c r="AJ4" s="53" t="s">
        <v>41</v>
      </c>
      <c r="AK4" s="53" t="s">
        <v>41</v>
      </c>
      <c r="AL4" s="53" t="s">
        <v>41</v>
      </c>
      <c r="AM4" s="53" t="s">
        <v>41</v>
      </c>
      <c r="AN4" s="53" t="s">
        <v>38</v>
      </c>
      <c r="AO4" s="53">
        <v>2021</v>
      </c>
      <c r="AP4" s="53" t="s">
        <v>41</v>
      </c>
      <c r="AR4" s="55">
        <v>2</v>
      </c>
      <c r="AS4" s="55">
        <v>1</v>
      </c>
    </row>
    <row r="5" spans="1:45" x14ac:dyDescent="0.3">
      <c r="A5" s="53" t="s">
        <v>75</v>
      </c>
      <c r="B5" s="55" t="s">
        <v>36</v>
      </c>
      <c r="C5" s="55">
        <v>38</v>
      </c>
      <c r="D5" s="57">
        <v>44697</v>
      </c>
      <c r="F5" s="55" t="s">
        <v>39</v>
      </c>
      <c r="G5" s="55">
        <v>38.299999999999997</v>
      </c>
      <c r="H5" s="55" t="s">
        <v>38</v>
      </c>
      <c r="I5" s="55" t="s">
        <v>77</v>
      </c>
      <c r="J5" s="55" t="s">
        <v>38</v>
      </c>
      <c r="K5" s="55" t="s">
        <v>70</v>
      </c>
      <c r="L5" s="55" t="s">
        <v>38</v>
      </c>
      <c r="M5" s="55" t="s">
        <v>78</v>
      </c>
      <c r="N5" s="55" t="s">
        <v>38</v>
      </c>
      <c r="O5" s="55" t="s">
        <v>78</v>
      </c>
      <c r="P5" s="55" t="s">
        <v>41</v>
      </c>
      <c r="Q5" s="55" t="s">
        <v>69</v>
      </c>
      <c r="R5" s="55" t="s">
        <v>38</v>
      </c>
      <c r="S5" s="55" t="s">
        <v>78</v>
      </c>
      <c r="T5" s="55" t="s">
        <v>41</v>
      </c>
      <c r="U5" s="55" t="s">
        <v>69</v>
      </c>
      <c r="V5" s="55" t="s">
        <v>41</v>
      </c>
      <c r="W5" s="55" t="s">
        <v>69</v>
      </c>
      <c r="AD5" s="55" t="s">
        <v>72</v>
      </c>
      <c r="AE5" s="55" t="s">
        <v>84</v>
      </c>
      <c r="AF5" s="55">
        <v>55</v>
      </c>
      <c r="AG5" s="55">
        <v>1.75</v>
      </c>
      <c r="AH5" s="55">
        <v>17.959183673469386</v>
      </c>
      <c r="AI5" s="55" t="s">
        <v>68</v>
      </c>
      <c r="AJ5" s="53" t="s">
        <v>41</v>
      </c>
      <c r="AK5" s="53" t="s">
        <v>41</v>
      </c>
      <c r="AL5" s="53" t="s">
        <v>41</v>
      </c>
      <c r="AM5" s="53" t="s">
        <v>41</v>
      </c>
      <c r="AN5" s="53" t="s">
        <v>41</v>
      </c>
      <c r="AO5" s="53" t="s">
        <v>41</v>
      </c>
      <c r="AP5" s="53" t="s">
        <v>41</v>
      </c>
      <c r="AR5" s="55">
        <v>1</v>
      </c>
      <c r="AS5" s="55">
        <v>1</v>
      </c>
    </row>
    <row r="6" spans="1:45" x14ac:dyDescent="0.3">
      <c r="A6" s="53" t="s">
        <v>80</v>
      </c>
      <c r="B6" s="55" t="s">
        <v>36</v>
      </c>
      <c r="C6" s="55">
        <v>42</v>
      </c>
      <c r="D6" s="57">
        <v>44697</v>
      </c>
      <c r="E6" s="53" t="s">
        <v>961</v>
      </c>
      <c r="F6" s="55" t="s">
        <v>39</v>
      </c>
      <c r="G6" s="55">
        <v>37.4</v>
      </c>
      <c r="H6" s="55" t="s">
        <v>38</v>
      </c>
      <c r="I6" s="55" t="s">
        <v>78</v>
      </c>
      <c r="J6" s="55" t="s">
        <v>38</v>
      </c>
      <c r="K6" s="55" t="s">
        <v>78</v>
      </c>
      <c r="L6" s="55" t="s">
        <v>38</v>
      </c>
      <c r="M6" s="55" t="s">
        <v>82</v>
      </c>
      <c r="N6" s="55" t="s">
        <v>38</v>
      </c>
      <c r="O6" s="55" t="s">
        <v>83</v>
      </c>
      <c r="P6" s="55" t="s">
        <v>41</v>
      </c>
      <c r="Q6" s="55" t="s">
        <v>69</v>
      </c>
      <c r="R6" s="55" t="s">
        <v>41</v>
      </c>
      <c r="S6" s="55" t="s">
        <v>69</v>
      </c>
      <c r="T6" s="55" t="s">
        <v>41</v>
      </c>
      <c r="U6" s="55" t="s">
        <v>69</v>
      </c>
      <c r="V6" s="55" t="s">
        <v>41</v>
      </c>
      <c r="W6" s="55" t="s">
        <v>69</v>
      </c>
      <c r="AD6" s="55" t="s">
        <v>57</v>
      </c>
      <c r="AE6" s="55" t="s">
        <v>88</v>
      </c>
      <c r="AF6" s="55">
        <v>55</v>
      </c>
      <c r="AG6" s="55">
        <v>1.8</v>
      </c>
      <c r="AH6" s="55">
        <v>16.975308641975307</v>
      </c>
      <c r="AI6" s="55" t="s">
        <v>68</v>
      </c>
      <c r="AJ6" s="53" t="s">
        <v>41</v>
      </c>
      <c r="AK6" s="53" t="s">
        <v>41</v>
      </c>
      <c r="AL6" s="53" t="s">
        <v>41</v>
      </c>
      <c r="AM6" s="53" t="s">
        <v>41</v>
      </c>
      <c r="AN6" s="53" t="s">
        <v>41</v>
      </c>
      <c r="AO6" s="53" t="s">
        <v>41</v>
      </c>
      <c r="AP6" s="53" t="s">
        <v>41</v>
      </c>
      <c r="AR6" s="55">
        <v>2</v>
      </c>
      <c r="AS6" s="55">
        <v>3</v>
      </c>
    </row>
    <row r="7" spans="1:45" x14ac:dyDescent="0.3">
      <c r="A7" s="53" t="s">
        <v>85</v>
      </c>
      <c r="B7" s="55" t="s">
        <v>87</v>
      </c>
      <c r="C7" s="55">
        <v>34</v>
      </c>
      <c r="D7" s="55"/>
      <c r="F7" s="55" t="s">
        <v>39</v>
      </c>
      <c r="G7" s="55">
        <v>37</v>
      </c>
      <c r="H7" s="55" t="s">
        <v>38</v>
      </c>
      <c r="I7" s="55" t="s">
        <v>70</v>
      </c>
      <c r="J7" s="55" t="s">
        <v>38</v>
      </c>
      <c r="K7" s="55" t="s">
        <v>70</v>
      </c>
      <c r="L7" s="55" t="s">
        <v>38</v>
      </c>
      <c r="M7" s="55" t="s">
        <v>78</v>
      </c>
      <c r="N7" s="55" t="s">
        <v>38</v>
      </c>
      <c r="O7" s="55" t="s">
        <v>82</v>
      </c>
      <c r="P7" s="55" t="s">
        <v>41</v>
      </c>
      <c r="Q7" s="55" t="s">
        <v>69</v>
      </c>
      <c r="R7" s="55" t="s">
        <v>41</v>
      </c>
      <c r="S7" s="55" t="s">
        <v>69</v>
      </c>
      <c r="T7" s="55" t="s">
        <v>41</v>
      </c>
      <c r="U7" s="55" t="s">
        <v>69</v>
      </c>
      <c r="V7" s="55" t="s">
        <v>41</v>
      </c>
      <c r="W7" s="55" t="s">
        <v>69</v>
      </c>
      <c r="AD7" s="55" t="s">
        <v>72</v>
      </c>
      <c r="AE7" s="55" t="s">
        <v>94</v>
      </c>
      <c r="AF7" s="55">
        <v>44</v>
      </c>
      <c r="AG7" s="55">
        <v>1.61</v>
      </c>
      <c r="AH7" s="55">
        <v>16.974653755642141</v>
      </c>
      <c r="AI7" s="55" t="s">
        <v>37</v>
      </c>
      <c r="AJ7" s="53" t="s">
        <v>41</v>
      </c>
      <c r="AK7" s="53" t="s">
        <v>41</v>
      </c>
      <c r="AL7" s="53" t="s">
        <v>41</v>
      </c>
      <c r="AM7" s="53" t="s">
        <v>41</v>
      </c>
      <c r="AN7" s="53" t="s">
        <v>41</v>
      </c>
      <c r="AO7" s="53" t="s">
        <v>41</v>
      </c>
      <c r="AP7" s="53" t="s">
        <v>41</v>
      </c>
      <c r="AR7" s="55">
        <v>2</v>
      </c>
      <c r="AS7" s="55">
        <v>2</v>
      </c>
    </row>
    <row r="8" spans="1:45" x14ac:dyDescent="0.3">
      <c r="A8" s="53" t="s">
        <v>90</v>
      </c>
      <c r="B8" s="55" t="s">
        <v>36</v>
      </c>
      <c r="C8" s="55">
        <v>44</v>
      </c>
      <c r="D8" s="57">
        <v>44700</v>
      </c>
      <c r="F8" s="55" t="s">
        <v>39</v>
      </c>
      <c r="G8" s="55">
        <v>37.299999999999997</v>
      </c>
      <c r="H8" s="55" t="s">
        <v>38</v>
      </c>
      <c r="I8" s="55" t="s">
        <v>78</v>
      </c>
      <c r="J8" s="55" t="s">
        <v>41</v>
      </c>
      <c r="K8" s="55" t="s">
        <v>69</v>
      </c>
      <c r="L8" s="55" t="s">
        <v>41</v>
      </c>
      <c r="M8" s="55" t="s">
        <v>69</v>
      </c>
      <c r="N8" s="55" t="s">
        <v>41</v>
      </c>
      <c r="O8" s="55" t="s">
        <v>69</v>
      </c>
      <c r="P8" s="55" t="s">
        <v>41</v>
      </c>
      <c r="Q8" s="55" t="s">
        <v>69</v>
      </c>
      <c r="R8" s="55" t="s">
        <v>41</v>
      </c>
      <c r="S8" s="55" t="s">
        <v>69</v>
      </c>
      <c r="T8" s="55" t="s">
        <v>41</v>
      </c>
      <c r="U8" s="55" t="s">
        <v>69</v>
      </c>
      <c r="V8" s="55" t="s">
        <v>41</v>
      </c>
      <c r="W8" s="55" t="s">
        <v>69</v>
      </c>
      <c r="AD8" s="55" t="s">
        <v>61</v>
      </c>
      <c r="AE8" s="58" t="s">
        <v>71</v>
      </c>
      <c r="AF8" s="55">
        <v>60</v>
      </c>
      <c r="AG8" s="55">
        <v>1.59</v>
      </c>
      <c r="AH8" s="55">
        <v>23.733238400379729</v>
      </c>
      <c r="AI8" s="55" t="s">
        <v>93</v>
      </c>
      <c r="AJ8" s="53" t="s">
        <v>41</v>
      </c>
      <c r="AK8" s="53" t="s">
        <v>41</v>
      </c>
      <c r="AL8" s="53" t="s">
        <v>41</v>
      </c>
      <c r="AM8" s="53" t="s">
        <v>41</v>
      </c>
      <c r="AN8" s="53" t="s">
        <v>41</v>
      </c>
      <c r="AO8" s="53" t="s">
        <v>41</v>
      </c>
      <c r="AP8" s="53" t="s">
        <v>41</v>
      </c>
      <c r="AR8" s="55">
        <v>4</v>
      </c>
      <c r="AS8" s="55">
        <v>3</v>
      </c>
    </row>
    <row r="9" spans="1:45" x14ac:dyDescent="0.3">
      <c r="A9" s="53" t="s">
        <v>95</v>
      </c>
      <c r="B9" s="55" t="s">
        <v>36</v>
      </c>
      <c r="C9" s="55">
        <v>30</v>
      </c>
      <c r="D9" s="59">
        <v>44213</v>
      </c>
      <c r="F9" s="55" t="s">
        <v>39</v>
      </c>
      <c r="G9" s="55" t="s">
        <v>69</v>
      </c>
      <c r="H9" s="55" t="s">
        <v>38</v>
      </c>
      <c r="I9" s="55" t="s">
        <v>50</v>
      </c>
      <c r="J9" s="55" t="s">
        <v>38</v>
      </c>
      <c r="K9" s="55" t="s">
        <v>43</v>
      </c>
      <c r="L9" s="55" t="s">
        <v>38</v>
      </c>
      <c r="M9" s="55" t="s">
        <v>97</v>
      </c>
      <c r="N9" s="55" t="s">
        <v>41</v>
      </c>
      <c r="O9" s="55"/>
      <c r="P9" s="55" t="s">
        <v>41</v>
      </c>
      <c r="Q9" s="55"/>
      <c r="R9" s="55" t="s">
        <v>38</v>
      </c>
      <c r="S9" s="55" t="s">
        <v>98</v>
      </c>
      <c r="T9" s="55" t="s">
        <v>38</v>
      </c>
      <c r="U9" s="55" t="s">
        <v>98</v>
      </c>
      <c r="V9" s="55"/>
      <c r="W9" s="55"/>
      <c r="AD9" s="58" t="s">
        <v>99</v>
      </c>
      <c r="AE9" s="58" t="s">
        <v>44</v>
      </c>
      <c r="AF9" s="55">
        <v>55</v>
      </c>
      <c r="AG9" s="55">
        <v>1.82</v>
      </c>
      <c r="AH9" s="55">
        <v>16.604274846033086</v>
      </c>
      <c r="AI9" s="55" t="s">
        <v>68</v>
      </c>
      <c r="AJ9" s="53" t="s">
        <v>38</v>
      </c>
      <c r="AK9" s="53" t="s">
        <v>41</v>
      </c>
      <c r="AL9" s="53" t="s">
        <v>38</v>
      </c>
      <c r="AM9" s="53" t="s">
        <v>38</v>
      </c>
      <c r="AN9" s="53" t="s">
        <v>41</v>
      </c>
      <c r="AO9" s="53" t="s">
        <v>41</v>
      </c>
      <c r="AP9" s="53" t="s">
        <v>41</v>
      </c>
      <c r="AR9" s="58">
        <v>3</v>
      </c>
      <c r="AS9" s="58">
        <v>2</v>
      </c>
    </row>
    <row r="10" spans="1:45" x14ac:dyDescent="0.3">
      <c r="A10" s="53" t="s">
        <v>35</v>
      </c>
      <c r="B10" s="55" t="s">
        <v>36</v>
      </c>
      <c r="C10" s="55">
        <v>42</v>
      </c>
      <c r="D10" s="60">
        <v>44784</v>
      </c>
      <c r="F10" s="58" t="s">
        <v>39</v>
      </c>
      <c r="G10" s="58">
        <v>34.6</v>
      </c>
      <c r="H10" s="58" t="s">
        <v>38</v>
      </c>
      <c r="I10" s="58" t="s">
        <v>65</v>
      </c>
      <c r="J10" s="58" t="s">
        <v>41</v>
      </c>
      <c r="K10" s="58"/>
      <c r="L10" s="58" t="s">
        <v>38</v>
      </c>
      <c r="M10" s="58" t="s">
        <v>65</v>
      </c>
      <c r="N10" s="58" t="s">
        <v>41</v>
      </c>
      <c r="O10" s="58"/>
      <c r="P10" s="58" t="s">
        <v>41</v>
      </c>
      <c r="Q10" s="58"/>
      <c r="R10" s="58" t="s">
        <v>41</v>
      </c>
      <c r="S10" s="58"/>
      <c r="T10" s="58" t="s">
        <v>41</v>
      </c>
      <c r="U10" s="58"/>
      <c r="V10" s="58"/>
      <c r="W10" s="58"/>
      <c r="AD10" s="58" t="s">
        <v>72</v>
      </c>
      <c r="AE10" s="58" t="s">
        <v>125</v>
      </c>
      <c r="AF10" s="55">
        <v>58</v>
      </c>
      <c r="AG10" s="55">
        <v>1.58</v>
      </c>
      <c r="AH10" s="58">
        <v>23.233456176894723</v>
      </c>
      <c r="AI10" s="55" t="s">
        <v>37</v>
      </c>
      <c r="AJ10" s="53" t="s">
        <v>41</v>
      </c>
      <c r="AK10" s="53" t="s">
        <v>41</v>
      </c>
      <c r="AL10" s="53" t="s">
        <v>41</v>
      </c>
      <c r="AM10" s="53" t="s">
        <v>38</v>
      </c>
      <c r="AN10" s="53" t="s">
        <v>41</v>
      </c>
      <c r="AO10" s="53" t="s">
        <v>41</v>
      </c>
      <c r="AP10" s="53" t="s">
        <v>41</v>
      </c>
      <c r="AR10" s="58">
        <v>1</v>
      </c>
      <c r="AS10" s="58">
        <v>1</v>
      </c>
    </row>
    <row r="11" spans="1:45" x14ac:dyDescent="0.3">
      <c r="A11" s="53" t="s">
        <v>122</v>
      </c>
      <c r="B11" s="55" t="s">
        <v>36</v>
      </c>
      <c r="C11" s="55">
        <v>47</v>
      </c>
      <c r="D11" s="59">
        <v>44895</v>
      </c>
      <c r="E11" s="53" t="s">
        <v>961</v>
      </c>
      <c r="F11" s="58" t="s">
        <v>39</v>
      </c>
      <c r="G11" s="58" t="s">
        <v>69</v>
      </c>
      <c r="H11" s="58" t="s">
        <v>38</v>
      </c>
      <c r="I11" s="58" t="s">
        <v>65</v>
      </c>
      <c r="J11" s="58" t="s">
        <v>38</v>
      </c>
      <c r="K11" s="55" t="s">
        <v>53</v>
      </c>
      <c r="L11" s="55" t="s">
        <v>38</v>
      </c>
      <c r="M11" s="55" t="s">
        <v>51</v>
      </c>
      <c r="N11" s="55" t="s">
        <v>38</v>
      </c>
      <c r="O11" s="55" t="s">
        <v>50</v>
      </c>
      <c r="P11" s="55" t="s">
        <v>38</v>
      </c>
      <c r="Q11" s="55" t="s">
        <v>52</v>
      </c>
      <c r="R11" s="55" t="s">
        <v>38</v>
      </c>
      <c r="S11" s="55" t="s">
        <v>52</v>
      </c>
      <c r="T11" s="55" t="s">
        <v>41</v>
      </c>
      <c r="U11" s="55"/>
      <c r="V11" s="55" t="s">
        <v>41</v>
      </c>
      <c r="W11" s="55"/>
      <c r="AD11" s="58" t="s">
        <v>72</v>
      </c>
      <c r="AE11" s="58" t="s">
        <v>79</v>
      </c>
      <c r="AF11" s="58">
        <v>68</v>
      </c>
      <c r="AG11" s="58">
        <v>1.79</v>
      </c>
      <c r="AH11" s="58">
        <v>21.222808276895229</v>
      </c>
      <c r="AI11" s="55" t="s">
        <v>68</v>
      </c>
      <c r="AJ11" s="53" t="s">
        <v>41</v>
      </c>
      <c r="AK11" s="53" t="s">
        <v>41</v>
      </c>
      <c r="AL11" s="53" t="s">
        <v>38</v>
      </c>
      <c r="AM11" s="53" t="s">
        <v>38</v>
      </c>
      <c r="AN11" s="53" t="s">
        <v>41</v>
      </c>
      <c r="AO11" s="53" t="s">
        <v>41</v>
      </c>
      <c r="AP11" s="53" t="s">
        <v>41</v>
      </c>
      <c r="AR11" s="58">
        <v>1</v>
      </c>
      <c r="AS11" s="58">
        <v>1</v>
      </c>
    </row>
    <row r="12" spans="1:45" x14ac:dyDescent="0.3">
      <c r="A12" s="53" t="s">
        <v>128</v>
      </c>
      <c r="B12" s="55" t="s">
        <v>36</v>
      </c>
      <c r="C12" s="55">
        <v>52</v>
      </c>
      <c r="D12" s="57">
        <v>44895</v>
      </c>
      <c r="F12" s="55" t="s">
        <v>39</v>
      </c>
      <c r="G12" s="55">
        <v>37</v>
      </c>
      <c r="H12" s="55" t="s">
        <v>38</v>
      </c>
      <c r="I12" s="55" t="s">
        <v>51</v>
      </c>
      <c r="J12" s="55" t="s">
        <v>38</v>
      </c>
      <c r="K12" s="55" t="s">
        <v>51</v>
      </c>
      <c r="L12" s="55" t="s">
        <v>38</v>
      </c>
      <c r="M12" s="55" t="s">
        <v>43</v>
      </c>
      <c r="N12" s="55" t="s">
        <v>38</v>
      </c>
      <c r="O12" s="55" t="s">
        <v>43</v>
      </c>
      <c r="P12" s="55" t="s">
        <v>41</v>
      </c>
      <c r="Q12" s="55"/>
      <c r="R12" s="55" t="s">
        <v>41</v>
      </c>
      <c r="S12" s="55"/>
      <c r="T12" s="55" t="s">
        <v>41</v>
      </c>
      <c r="U12" s="55"/>
      <c r="V12" s="55" t="s">
        <v>41</v>
      </c>
      <c r="W12" s="55"/>
      <c r="AD12" s="58" t="s">
        <v>72</v>
      </c>
      <c r="AE12" s="58" t="s">
        <v>79</v>
      </c>
      <c r="AF12" s="55">
        <v>48</v>
      </c>
      <c r="AG12" s="58">
        <v>1.67</v>
      </c>
      <c r="AH12" s="55">
        <v>17.21108680841909</v>
      </c>
      <c r="AI12" s="55" t="s">
        <v>37</v>
      </c>
      <c r="AJ12" s="53" t="s">
        <v>41</v>
      </c>
      <c r="AK12" s="53" t="s">
        <v>41</v>
      </c>
      <c r="AL12" s="53" t="s">
        <v>38</v>
      </c>
      <c r="AM12" s="53" t="s">
        <v>38</v>
      </c>
      <c r="AN12" s="53" t="s">
        <v>41</v>
      </c>
      <c r="AO12" s="53" t="s">
        <v>41</v>
      </c>
      <c r="AP12" s="53" t="s">
        <v>41</v>
      </c>
      <c r="AR12" s="58">
        <v>4</v>
      </c>
      <c r="AS12" s="58">
        <v>2</v>
      </c>
    </row>
    <row r="13" spans="1:45" x14ac:dyDescent="0.3">
      <c r="A13" s="53" t="s">
        <v>130</v>
      </c>
      <c r="B13" s="55" t="s">
        <v>36</v>
      </c>
      <c r="C13" s="55">
        <v>40</v>
      </c>
      <c r="D13" s="60">
        <v>44531</v>
      </c>
      <c r="F13" s="55" t="s">
        <v>39</v>
      </c>
      <c r="G13" s="55" t="s">
        <v>69</v>
      </c>
      <c r="H13" s="55" t="s">
        <v>38</v>
      </c>
      <c r="I13" s="55" t="s">
        <v>103</v>
      </c>
      <c r="J13" s="55" t="s">
        <v>38</v>
      </c>
      <c r="K13" s="55" t="s">
        <v>65</v>
      </c>
      <c r="L13" s="55" t="s">
        <v>104</v>
      </c>
      <c r="M13" s="55" t="s">
        <v>50</v>
      </c>
      <c r="N13" s="55" t="s">
        <v>38</v>
      </c>
      <c r="O13" s="55" t="s">
        <v>65</v>
      </c>
      <c r="P13" s="55" t="s">
        <v>38</v>
      </c>
      <c r="Q13" s="55" t="s">
        <v>65</v>
      </c>
      <c r="R13" s="55" t="s">
        <v>38</v>
      </c>
      <c r="S13" s="55" t="s">
        <v>132</v>
      </c>
      <c r="T13" s="55" t="s">
        <v>41</v>
      </c>
      <c r="U13" s="55"/>
      <c r="V13" s="55" t="s">
        <v>41</v>
      </c>
      <c r="W13" s="55"/>
      <c r="AD13" s="58" t="s">
        <v>61</v>
      </c>
      <c r="AE13" s="58" t="s">
        <v>137</v>
      </c>
      <c r="AF13" s="55">
        <v>62</v>
      </c>
      <c r="AG13" s="55">
        <v>1.92</v>
      </c>
      <c r="AH13" s="55">
        <v>16.818576388888889</v>
      </c>
      <c r="AI13" s="55" t="s">
        <v>68</v>
      </c>
      <c r="AJ13" s="53" t="s">
        <v>41</v>
      </c>
      <c r="AK13" s="53" t="s">
        <v>41</v>
      </c>
      <c r="AL13" s="53" t="s">
        <v>38</v>
      </c>
      <c r="AM13" s="53" t="s">
        <v>38</v>
      </c>
      <c r="AN13" s="53" t="s">
        <v>41</v>
      </c>
      <c r="AO13" s="53" t="s">
        <v>41</v>
      </c>
      <c r="AP13" s="53" t="s">
        <v>41</v>
      </c>
      <c r="AR13" s="58">
        <v>1</v>
      </c>
      <c r="AS13" s="58">
        <v>1</v>
      </c>
    </row>
    <row r="14" spans="1:45" x14ac:dyDescent="0.3">
      <c r="A14" s="53" t="s">
        <v>133</v>
      </c>
      <c r="B14" s="55" t="s">
        <v>87</v>
      </c>
      <c r="C14" s="55">
        <v>21</v>
      </c>
      <c r="D14" s="57">
        <v>44574</v>
      </c>
      <c r="F14" s="55" t="s">
        <v>39</v>
      </c>
      <c r="G14" s="55">
        <v>35</v>
      </c>
      <c r="H14" s="55" t="s">
        <v>38</v>
      </c>
      <c r="I14" s="55" t="s">
        <v>50</v>
      </c>
      <c r="J14" s="55" t="s">
        <v>38</v>
      </c>
      <c r="K14" s="55" t="s">
        <v>51</v>
      </c>
      <c r="L14" s="55" t="s">
        <v>38</v>
      </c>
      <c r="M14" s="55" t="s">
        <v>110</v>
      </c>
      <c r="N14" s="55" t="s">
        <v>38</v>
      </c>
      <c r="O14" s="55" t="s">
        <v>51</v>
      </c>
      <c r="P14" s="55" t="s">
        <v>38</v>
      </c>
      <c r="Q14" s="55" t="s">
        <v>51</v>
      </c>
      <c r="R14" s="55" t="s">
        <v>38</v>
      </c>
      <c r="S14" s="55" t="s">
        <v>65</v>
      </c>
      <c r="T14" s="55" t="s">
        <v>41</v>
      </c>
      <c r="U14" s="55"/>
      <c r="V14" s="55" t="s">
        <v>136</v>
      </c>
      <c r="W14" s="55" t="s">
        <v>52</v>
      </c>
      <c r="AD14" s="58" t="s">
        <v>45</v>
      </c>
      <c r="AE14" s="58" t="s">
        <v>141</v>
      </c>
      <c r="AF14" s="55">
        <v>53</v>
      </c>
      <c r="AG14" s="55">
        <v>1.66</v>
      </c>
      <c r="AH14" s="55">
        <v>19.233560749020178</v>
      </c>
      <c r="AI14" s="55" t="s">
        <v>68</v>
      </c>
      <c r="AJ14" s="53" t="s">
        <v>41</v>
      </c>
      <c r="AK14" s="53" t="s">
        <v>41</v>
      </c>
      <c r="AL14" s="53" t="s">
        <v>41</v>
      </c>
      <c r="AM14" s="53" t="s">
        <v>41</v>
      </c>
      <c r="AN14" s="53" t="s">
        <v>41</v>
      </c>
      <c r="AO14" s="53" t="s">
        <v>41</v>
      </c>
      <c r="AP14" s="53" t="s">
        <v>41</v>
      </c>
      <c r="AR14" s="58">
        <v>2</v>
      </c>
      <c r="AS14" s="58">
        <v>2</v>
      </c>
    </row>
    <row r="15" spans="1:45" x14ac:dyDescent="0.3">
      <c r="A15" s="53" t="s">
        <v>138</v>
      </c>
      <c r="B15" s="55" t="s">
        <v>87</v>
      </c>
      <c r="C15" s="55">
        <v>26</v>
      </c>
      <c r="D15" s="57">
        <v>44878</v>
      </c>
      <c r="E15" s="53" t="s">
        <v>961</v>
      </c>
      <c r="F15" s="55" t="s">
        <v>39</v>
      </c>
      <c r="G15" s="55">
        <v>37</v>
      </c>
      <c r="H15" s="55" t="s">
        <v>38</v>
      </c>
      <c r="I15" s="55" t="s">
        <v>50</v>
      </c>
      <c r="J15" s="55" t="s">
        <v>38</v>
      </c>
      <c r="K15" s="55" t="s">
        <v>65</v>
      </c>
      <c r="L15" s="55" t="s">
        <v>38</v>
      </c>
      <c r="M15" s="55" t="s">
        <v>140</v>
      </c>
      <c r="N15" s="55" t="s">
        <v>38</v>
      </c>
      <c r="O15" s="55" t="s">
        <v>50</v>
      </c>
      <c r="P15" s="55" t="s">
        <v>38</v>
      </c>
      <c r="Q15" s="55" t="s">
        <v>132</v>
      </c>
      <c r="R15" s="55" t="s">
        <v>38</v>
      </c>
      <c r="S15" s="55" t="s">
        <v>132</v>
      </c>
      <c r="T15" s="55" t="s">
        <v>41</v>
      </c>
      <c r="U15" s="55"/>
      <c r="V15" s="55" t="s">
        <v>41</v>
      </c>
      <c r="W15" s="55"/>
      <c r="AD15" s="58" t="s">
        <v>57</v>
      </c>
      <c r="AE15" s="55" t="s">
        <v>144</v>
      </c>
      <c r="AF15" s="55">
        <v>42</v>
      </c>
      <c r="AG15" s="55">
        <v>1.69</v>
      </c>
      <c r="AH15" s="55">
        <v>14.705367459122582</v>
      </c>
      <c r="AI15" s="55" t="s">
        <v>37</v>
      </c>
      <c r="AJ15" s="53" t="s">
        <v>41</v>
      </c>
      <c r="AK15" s="53" t="s">
        <v>41</v>
      </c>
      <c r="AL15" s="53" t="s">
        <v>41</v>
      </c>
      <c r="AM15" s="53" t="s">
        <v>41</v>
      </c>
      <c r="AN15" s="53" t="s">
        <v>41</v>
      </c>
      <c r="AO15" s="53" t="s">
        <v>41</v>
      </c>
      <c r="AP15" s="53" t="s">
        <v>41</v>
      </c>
      <c r="AR15" s="58">
        <v>3</v>
      </c>
      <c r="AS15" s="58">
        <v>2</v>
      </c>
    </row>
    <row r="16" spans="1:45" x14ac:dyDescent="0.3">
      <c r="A16" s="53" t="s">
        <v>142</v>
      </c>
      <c r="B16" s="55" t="s">
        <v>36</v>
      </c>
      <c r="C16" s="55"/>
      <c r="D16" s="60">
        <v>44653</v>
      </c>
      <c r="F16" s="55" t="s">
        <v>39</v>
      </c>
      <c r="G16" s="55">
        <v>37</v>
      </c>
      <c r="H16" s="55" t="s">
        <v>38</v>
      </c>
      <c r="I16" s="55" t="s">
        <v>50</v>
      </c>
      <c r="J16" s="55" t="s">
        <v>38</v>
      </c>
      <c r="K16" s="55" t="s">
        <v>43</v>
      </c>
      <c r="L16" s="55" t="s">
        <v>38</v>
      </c>
      <c r="M16" s="55" t="s">
        <v>50</v>
      </c>
      <c r="N16" s="55" t="s">
        <v>38</v>
      </c>
      <c r="O16" s="55" t="s">
        <v>51</v>
      </c>
      <c r="P16" s="55" t="s">
        <v>41</v>
      </c>
      <c r="Q16" s="55"/>
      <c r="R16" s="55" t="s">
        <v>38</v>
      </c>
      <c r="S16" s="55" t="s">
        <v>43</v>
      </c>
      <c r="T16" s="55" t="s">
        <v>41</v>
      </c>
      <c r="U16" s="55"/>
      <c r="V16" s="55" t="s">
        <v>41</v>
      </c>
      <c r="W16" s="55"/>
      <c r="AD16" s="55" t="s">
        <v>72</v>
      </c>
      <c r="AE16" s="55" t="s">
        <v>69</v>
      </c>
      <c r="AF16" s="55"/>
      <c r="AG16" s="55">
        <v>0</v>
      </c>
      <c r="AH16" s="55" t="e">
        <v>#DIV/0!</v>
      </c>
      <c r="AI16" s="55" t="s">
        <v>68</v>
      </c>
      <c r="AJ16" s="53" t="s">
        <v>41</v>
      </c>
      <c r="AK16" s="53" t="s">
        <v>41</v>
      </c>
      <c r="AL16" s="53" t="s">
        <v>41</v>
      </c>
      <c r="AM16" s="53" t="s">
        <v>41</v>
      </c>
      <c r="AN16" s="53" t="s">
        <v>41</v>
      </c>
      <c r="AO16" s="53" t="s">
        <v>41</v>
      </c>
      <c r="AP16" s="53" t="s">
        <v>41</v>
      </c>
      <c r="AR16" s="55">
        <v>3</v>
      </c>
      <c r="AS16" s="55">
        <v>2</v>
      </c>
    </row>
    <row r="17" spans="1:45" x14ac:dyDescent="0.3">
      <c r="A17" s="53" t="s">
        <v>145</v>
      </c>
      <c r="B17" s="55" t="s">
        <v>36</v>
      </c>
      <c r="C17" s="55">
        <v>31</v>
      </c>
      <c r="D17" s="60">
        <v>44653</v>
      </c>
      <c r="F17" s="55" t="s">
        <v>39</v>
      </c>
      <c r="G17" s="55">
        <v>37</v>
      </c>
      <c r="H17" s="55" t="s">
        <v>38</v>
      </c>
      <c r="I17" s="55" t="s">
        <v>146</v>
      </c>
      <c r="J17" s="55"/>
      <c r="K17" s="55" t="s">
        <v>51</v>
      </c>
      <c r="L17" s="55" t="s">
        <v>38</v>
      </c>
      <c r="M17" s="55" t="s">
        <v>65</v>
      </c>
      <c r="N17" s="55" t="s">
        <v>38</v>
      </c>
      <c r="O17" s="55" t="s">
        <v>43</v>
      </c>
      <c r="P17" s="55" t="s">
        <v>41</v>
      </c>
      <c r="Q17" s="55"/>
      <c r="R17" s="55" t="s">
        <v>38</v>
      </c>
      <c r="S17" s="55" t="s">
        <v>114</v>
      </c>
      <c r="T17" s="55" t="s">
        <v>41</v>
      </c>
      <c r="U17" s="55"/>
      <c r="V17" s="55" t="s">
        <v>41</v>
      </c>
      <c r="W17" s="55"/>
      <c r="AD17" s="55" t="s">
        <v>45</v>
      </c>
      <c r="AE17" s="58" t="s">
        <v>56</v>
      </c>
      <c r="AF17" s="55">
        <v>59</v>
      </c>
      <c r="AG17" s="55">
        <v>1.87</v>
      </c>
      <c r="AH17" s="55">
        <v>16.872086705367607</v>
      </c>
      <c r="AI17" s="55" t="s">
        <v>68</v>
      </c>
      <c r="AJ17" s="53" t="s">
        <v>41</v>
      </c>
      <c r="AK17" s="53" t="s">
        <v>41</v>
      </c>
      <c r="AL17" s="53" t="s">
        <v>41</v>
      </c>
      <c r="AM17" s="53" t="s">
        <v>41</v>
      </c>
      <c r="AN17" s="53" t="s">
        <v>41</v>
      </c>
      <c r="AO17" s="53" t="s">
        <v>41</v>
      </c>
      <c r="AP17" s="53" t="s">
        <v>41</v>
      </c>
      <c r="AR17" s="55">
        <v>2</v>
      </c>
      <c r="AS17" s="55">
        <v>2</v>
      </c>
    </row>
    <row r="18" spans="1:45" x14ac:dyDescent="0.3">
      <c r="A18" s="53" t="s">
        <v>47</v>
      </c>
      <c r="B18" s="58" t="s">
        <v>36</v>
      </c>
      <c r="C18" s="58">
        <v>38</v>
      </c>
      <c r="D18" s="61">
        <v>44516</v>
      </c>
      <c r="F18" s="58" t="s">
        <v>49</v>
      </c>
      <c r="G18" s="58">
        <v>36</v>
      </c>
      <c r="H18" s="58" t="s">
        <v>38</v>
      </c>
      <c r="I18" s="58">
        <v>12</v>
      </c>
      <c r="J18" s="58" t="s">
        <v>38</v>
      </c>
      <c r="K18" s="58" t="s">
        <v>43</v>
      </c>
      <c r="L18" s="58" t="s">
        <v>38</v>
      </c>
      <c r="M18" s="58" t="s">
        <v>50</v>
      </c>
      <c r="N18" s="58" t="s">
        <v>38</v>
      </c>
      <c r="O18" s="58" t="s">
        <v>51</v>
      </c>
      <c r="P18" s="58" t="s">
        <v>41</v>
      </c>
      <c r="Q18" s="58"/>
      <c r="R18" s="58" t="s">
        <v>38</v>
      </c>
      <c r="S18" s="58" t="s">
        <v>52</v>
      </c>
      <c r="T18" s="58" t="s">
        <v>38</v>
      </c>
      <c r="U18" s="58" t="s">
        <v>53</v>
      </c>
      <c r="V18" s="58" t="s">
        <v>54</v>
      </c>
      <c r="W18" s="58" t="s">
        <v>55</v>
      </c>
      <c r="AD18" s="58" t="s">
        <v>57</v>
      </c>
      <c r="AE18" s="58" t="s">
        <v>56</v>
      </c>
      <c r="AF18" s="58">
        <v>58</v>
      </c>
      <c r="AG18" s="55">
        <v>1.68</v>
      </c>
      <c r="AH18" s="58">
        <v>20.549886621315196</v>
      </c>
      <c r="AI18" s="58" t="s">
        <v>37</v>
      </c>
      <c r="AJ18" s="53" t="s">
        <v>41</v>
      </c>
      <c r="AK18" s="53" t="s">
        <v>41</v>
      </c>
      <c r="AL18" s="53" t="s">
        <v>41</v>
      </c>
      <c r="AM18" s="53" t="s">
        <v>41</v>
      </c>
      <c r="AN18" s="53" t="s">
        <v>41</v>
      </c>
      <c r="AP18" s="53" t="s">
        <v>41</v>
      </c>
      <c r="AR18" s="58">
        <v>3</v>
      </c>
      <c r="AS18" s="58">
        <v>2</v>
      </c>
    </row>
    <row r="19" spans="1:45" x14ac:dyDescent="0.3">
      <c r="A19" s="53" t="s">
        <v>59</v>
      </c>
      <c r="B19" s="58" t="s">
        <v>36</v>
      </c>
      <c r="C19" s="58">
        <v>28</v>
      </c>
      <c r="D19" s="61">
        <v>44517</v>
      </c>
      <c r="F19" s="58" t="s">
        <v>49</v>
      </c>
      <c r="G19" s="58">
        <v>37.6</v>
      </c>
      <c r="H19" s="58" t="s">
        <v>38</v>
      </c>
      <c r="I19" s="58" t="s">
        <v>43</v>
      </c>
      <c r="J19" s="58" t="s">
        <v>38</v>
      </c>
      <c r="K19" s="58" t="s">
        <v>51</v>
      </c>
      <c r="L19" s="58" t="s">
        <v>38</v>
      </c>
      <c r="M19" s="58" t="s">
        <v>43</v>
      </c>
      <c r="N19" s="58" t="s">
        <v>38</v>
      </c>
      <c r="O19" s="58" t="s">
        <v>43</v>
      </c>
      <c r="P19" s="58" t="s">
        <v>41</v>
      </c>
      <c r="Q19" s="58"/>
      <c r="R19" s="58" t="s">
        <v>41</v>
      </c>
      <c r="S19" s="58"/>
      <c r="T19" s="58" t="s">
        <v>41</v>
      </c>
      <c r="U19" s="55"/>
      <c r="V19" s="55" t="s">
        <v>41</v>
      </c>
      <c r="W19" s="55"/>
      <c r="AD19" s="58" t="s">
        <v>61</v>
      </c>
      <c r="AE19" s="55" t="s">
        <v>56</v>
      </c>
      <c r="AF19" s="58">
        <v>62</v>
      </c>
      <c r="AG19" s="58">
        <v>1.56</v>
      </c>
      <c r="AH19" s="58">
        <v>25.476660092044707</v>
      </c>
      <c r="AI19" s="58" t="s">
        <v>37</v>
      </c>
      <c r="AJ19" s="53" t="s">
        <v>41</v>
      </c>
      <c r="AK19" s="53" t="s">
        <v>41</v>
      </c>
      <c r="AL19" s="53" t="s">
        <v>41</v>
      </c>
      <c r="AM19" s="53" t="s">
        <v>41</v>
      </c>
      <c r="AN19" s="53" t="s">
        <v>41</v>
      </c>
      <c r="AP19" s="53" t="s">
        <v>41</v>
      </c>
      <c r="AR19" s="58">
        <v>3</v>
      </c>
      <c r="AS19" s="58">
        <v>2</v>
      </c>
    </row>
    <row r="20" spans="1:45" x14ac:dyDescent="0.3">
      <c r="A20" s="53" t="s">
        <v>62</v>
      </c>
      <c r="B20" s="58" t="s">
        <v>36</v>
      </c>
      <c r="C20" s="58">
        <v>37</v>
      </c>
      <c r="D20" s="61">
        <v>44518</v>
      </c>
      <c r="F20" s="58" t="s">
        <v>49</v>
      </c>
      <c r="G20" s="58">
        <v>37.9</v>
      </c>
      <c r="H20" s="58" t="s">
        <v>38</v>
      </c>
      <c r="I20" s="58" t="s">
        <v>64</v>
      </c>
      <c r="J20" s="58" t="s">
        <v>38</v>
      </c>
      <c r="K20" s="58" t="s">
        <v>43</v>
      </c>
      <c r="L20" s="58" t="s">
        <v>38</v>
      </c>
      <c r="M20" s="58" t="s">
        <v>65</v>
      </c>
      <c r="N20" s="58" t="s">
        <v>38</v>
      </c>
      <c r="O20" s="58" t="s">
        <v>50</v>
      </c>
      <c r="P20" s="58" t="s">
        <v>38</v>
      </c>
      <c r="Q20" s="58" t="s">
        <v>65</v>
      </c>
      <c r="R20" s="58" t="s">
        <v>38</v>
      </c>
      <c r="S20" s="58" t="s">
        <v>65</v>
      </c>
      <c r="T20" s="58" t="s">
        <v>41</v>
      </c>
      <c r="U20" s="55"/>
      <c r="V20" s="55" t="s">
        <v>41</v>
      </c>
      <c r="W20" s="55"/>
      <c r="AD20" s="55" t="s">
        <v>57</v>
      </c>
      <c r="AE20" s="58" t="s">
        <v>105</v>
      </c>
      <c r="AF20" s="58">
        <v>60</v>
      </c>
      <c r="AG20" s="58">
        <v>1.67</v>
      </c>
      <c r="AH20" s="58">
        <v>21.513858510523864</v>
      </c>
      <c r="AI20" s="58" t="s">
        <v>37</v>
      </c>
      <c r="AJ20" s="53" t="s">
        <v>41</v>
      </c>
      <c r="AK20" s="53" t="s">
        <v>41</v>
      </c>
      <c r="AL20" s="53" t="s">
        <v>38</v>
      </c>
      <c r="AM20" s="53" t="s">
        <v>38</v>
      </c>
      <c r="AN20" s="53" t="s">
        <v>38</v>
      </c>
      <c r="AO20" s="53">
        <v>44317</v>
      </c>
      <c r="AP20" s="53" t="s">
        <v>41</v>
      </c>
      <c r="AR20" s="55">
        <v>2</v>
      </c>
      <c r="AS20" s="55">
        <v>1</v>
      </c>
    </row>
    <row r="21" spans="1:45" x14ac:dyDescent="0.3">
      <c r="A21" s="53" t="s">
        <v>101</v>
      </c>
      <c r="B21" s="58" t="s">
        <v>36</v>
      </c>
      <c r="C21" s="58">
        <v>23</v>
      </c>
      <c r="D21" s="62">
        <v>44516</v>
      </c>
      <c r="F21" s="58"/>
      <c r="G21" s="58" t="s">
        <v>69</v>
      </c>
      <c r="H21" s="58" t="s">
        <v>38</v>
      </c>
      <c r="I21" s="58" t="s">
        <v>103</v>
      </c>
      <c r="J21" s="58" t="s">
        <v>104</v>
      </c>
      <c r="K21" s="58" t="s">
        <v>43</v>
      </c>
      <c r="L21" s="58" t="s">
        <v>38</v>
      </c>
      <c r="M21" s="58" t="s">
        <v>50</v>
      </c>
      <c r="N21" s="58" t="s">
        <v>38</v>
      </c>
      <c r="O21" s="58" t="s">
        <v>65</v>
      </c>
      <c r="P21" s="58" t="s">
        <v>41</v>
      </c>
      <c r="Q21" s="58"/>
      <c r="R21" s="58" t="s">
        <v>41</v>
      </c>
      <c r="S21" s="58"/>
      <c r="T21" s="58" t="s">
        <v>41</v>
      </c>
      <c r="U21" s="58"/>
      <c r="V21" s="58" t="s">
        <v>41</v>
      </c>
      <c r="W21" s="58"/>
      <c r="AD21" s="58" t="s">
        <v>72</v>
      </c>
      <c r="AE21" s="58" t="s">
        <v>69</v>
      </c>
      <c r="AF21" s="58">
        <v>58</v>
      </c>
      <c r="AG21" s="58" t="e">
        <v>#VALUE!</v>
      </c>
      <c r="AH21" s="58" t="e">
        <v>#VALUE!</v>
      </c>
      <c r="AI21" s="58" t="s">
        <v>68</v>
      </c>
      <c r="AJ21" s="53" t="s">
        <v>41</v>
      </c>
      <c r="AK21" s="53" t="s">
        <v>41</v>
      </c>
      <c r="AL21" s="53" t="s">
        <v>41</v>
      </c>
      <c r="AM21" s="53" t="s">
        <v>41</v>
      </c>
      <c r="AN21" s="53" t="s">
        <v>41</v>
      </c>
      <c r="AO21" s="53" t="s">
        <v>41</v>
      </c>
      <c r="AP21" s="53" t="s">
        <v>41</v>
      </c>
      <c r="AR21" s="58">
        <v>1</v>
      </c>
      <c r="AS21" s="58">
        <v>1</v>
      </c>
    </row>
    <row r="22" spans="1:45" x14ac:dyDescent="0.3">
      <c r="A22" s="53" t="s">
        <v>107</v>
      </c>
      <c r="B22" s="58" t="s">
        <v>36</v>
      </c>
      <c r="C22" s="58">
        <v>39</v>
      </c>
      <c r="D22" s="63">
        <v>44643</v>
      </c>
      <c r="F22" s="58" t="s">
        <v>39</v>
      </c>
      <c r="G22" s="58">
        <v>37.799999999999997</v>
      </c>
      <c r="H22" s="58" t="s">
        <v>38</v>
      </c>
      <c r="I22" s="58" t="s">
        <v>65</v>
      </c>
      <c r="J22" s="58" t="s">
        <v>38</v>
      </c>
      <c r="K22" s="58" t="s">
        <v>51</v>
      </c>
      <c r="L22" s="58" t="s">
        <v>38</v>
      </c>
      <c r="M22" s="58" t="s">
        <v>43</v>
      </c>
      <c r="N22" s="58" t="s">
        <v>38</v>
      </c>
      <c r="O22" s="58" t="s">
        <v>43</v>
      </c>
      <c r="P22" s="58" t="s">
        <v>41</v>
      </c>
      <c r="Q22" s="58"/>
      <c r="R22" s="58" t="s">
        <v>38</v>
      </c>
      <c r="S22" s="58" t="s">
        <v>110</v>
      </c>
      <c r="T22" s="58"/>
      <c r="U22" s="58"/>
      <c r="V22" s="58" t="s">
        <v>41</v>
      </c>
      <c r="W22" s="58"/>
      <c r="AD22" s="58" t="s">
        <v>61</v>
      </c>
      <c r="AE22" s="58" t="s">
        <v>115</v>
      </c>
      <c r="AF22" s="58">
        <v>53</v>
      </c>
      <c r="AG22" s="58" t="e">
        <v>#VALUE!</v>
      </c>
      <c r="AH22" s="58" t="e">
        <v>#VALUE!</v>
      </c>
      <c r="AI22" s="58" t="s">
        <v>68</v>
      </c>
      <c r="AJ22" s="53" t="s">
        <v>41</v>
      </c>
      <c r="AK22" s="53" t="s">
        <v>41</v>
      </c>
      <c r="AL22" s="53" t="s">
        <v>41</v>
      </c>
      <c r="AM22" s="53" t="s">
        <v>38</v>
      </c>
      <c r="AN22" s="53" t="s">
        <v>38</v>
      </c>
      <c r="AO22" s="53">
        <v>2017</v>
      </c>
      <c r="AP22" s="53" t="s">
        <v>38</v>
      </c>
      <c r="AR22" s="58">
        <v>2</v>
      </c>
      <c r="AS22" s="58">
        <v>6</v>
      </c>
    </row>
    <row r="23" spans="1:45" x14ac:dyDescent="0.3">
      <c r="A23" s="53" t="s">
        <v>111</v>
      </c>
      <c r="B23" s="58" t="s">
        <v>36</v>
      </c>
      <c r="C23" s="58">
        <v>18</v>
      </c>
      <c r="D23" s="64">
        <v>44565</v>
      </c>
      <c r="F23" s="58" t="s">
        <v>39</v>
      </c>
      <c r="G23" s="58">
        <v>36</v>
      </c>
      <c r="H23" s="58" t="s">
        <v>38</v>
      </c>
      <c r="I23" s="58" t="s">
        <v>114</v>
      </c>
      <c r="J23" s="58" t="s">
        <v>38</v>
      </c>
      <c r="K23" s="58" t="s">
        <v>51</v>
      </c>
      <c r="L23" s="58" t="s">
        <v>38</v>
      </c>
      <c r="M23" s="58" t="s">
        <v>43</v>
      </c>
      <c r="N23" s="58" t="s">
        <v>38</v>
      </c>
      <c r="O23" s="58" t="s">
        <v>114</v>
      </c>
      <c r="P23" s="58" t="s">
        <v>41</v>
      </c>
      <c r="Q23" s="58"/>
      <c r="R23" s="58" t="s">
        <v>38</v>
      </c>
      <c r="S23" s="58" t="s">
        <v>51</v>
      </c>
      <c r="T23" s="58" t="s">
        <v>38</v>
      </c>
      <c r="U23" s="58" t="s">
        <v>53</v>
      </c>
      <c r="V23" s="58" t="s">
        <v>41</v>
      </c>
      <c r="W23" s="58"/>
      <c r="AD23" s="58" t="s">
        <v>72</v>
      </c>
      <c r="AE23" s="58" t="s">
        <v>118</v>
      </c>
      <c r="AF23" s="58">
        <v>55</v>
      </c>
      <c r="AG23" s="58">
        <v>1.73</v>
      </c>
      <c r="AH23" s="58">
        <v>18.376825152861773</v>
      </c>
      <c r="AI23" s="58" t="s">
        <v>68</v>
      </c>
      <c r="AJ23" s="53" t="s">
        <v>41</v>
      </c>
      <c r="AK23" s="53" t="s">
        <v>41</v>
      </c>
      <c r="AL23" s="53" t="s">
        <v>41</v>
      </c>
      <c r="AM23" s="53" t="s">
        <v>41</v>
      </c>
      <c r="AN23" s="53" t="s">
        <v>41</v>
      </c>
      <c r="AO23" s="53" t="s">
        <v>41</v>
      </c>
      <c r="AP23" s="53" t="s">
        <v>41</v>
      </c>
      <c r="AR23" s="58">
        <v>3</v>
      </c>
      <c r="AS23" s="58">
        <v>3</v>
      </c>
    </row>
    <row r="24" spans="1:45" x14ac:dyDescent="0.3">
      <c r="A24" s="53" t="s">
        <v>116</v>
      </c>
      <c r="B24" s="58" t="s">
        <v>36</v>
      </c>
      <c r="C24" s="58">
        <v>28</v>
      </c>
      <c r="D24" s="65">
        <v>44585</v>
      </c>
      <c r="F24" s="58" t="s">
        <v>39</v>
      </c>
      <c r="G24" s="58">
        <v>36</v>
      </c>
      <c r="H24" s="58" t="s">
        <v>38</v>
      </c>
      <c r="I24" s="58" t="s">
        <v>50</v>
      </c>
      <c r="J24" s="58" t="s">
        <v>38</v>
      </c>
      <c r="K24" s="58" t="s">
        <v>51</v>
      </c>
      <c r="L24" s="58" t="s">
        <v>38</v>
      </c>
      <c r="M24" s="58" t="s">
        <v>65</v>
      </c>
      <c r="N24" s="58" t="s">
        <v>38</v>
      </c>
      <c r="O24" s="58" t="s">
        <v>51</v>
      </c>
      <c r="P24" s="58" t="s">
        <v>41</v>
      </c>
      <c r="Q24" s="58"/>
      <c r="R24" s="58" t="s">
        <v>38</v>
      </c>
      <c r="S24" s="58" t="s">
        <v>50</v>
      </c>
      <c r="T24" s="58" t="s">
        <v>41</v>
      </c>
      <c r="U24" s="58"/>
      <c r="V24" s="58" t="s">
        <v>41</v>
      </c>
      <c r="W24" s="58"/>
      <c r="AD24" s="58" t="s">
        <v>57</v>
      </c>
      <c r="AE24" s="58" t="s">
        <v>121</v>
      </c>
      <c r="AF24" s="58">
        <v>46</v>
      </c>
      <c r="AG24" s="58">
        <v>1.49</v>
      </c>
      <c r="AH24" s="58">
        <v>20.719787396964101</v>
      </c>
      <c r="AI24" s="58" t="s">
        <v>68</v>
      </c>
      <c r="AJ24" s="53" t="s">
        <v>41</v>
      </c>
      <c r="AK24" s="53" t="s">
        <v>41</v>
      </c>
      <c r="AL24" s="53" t="s">
        <v>38</v>
      </c>
      <c r="AM24" s="53" t="s">
        <v>38</v>
      </c>
      <c r="AN24" s="53" t="s">
        <v>41</v>
      </c>
      <c r="AO24" s="53" t="s">
        <v>41</v>
      </c>
      <c r="AP24" s="53" t="s">
        <v>41</v>
      </c>
      <c r="AR24" s="58">
        <v>3</v>
      </c>
      <c r="AS24" s="58">
        <v>1</v>
      </c>
    </row>
    <row r="25" spans="1:45" x14ac:dyDescent="0.3">
      <c r="A25" s="53" t="s">
        <v>119</v>
      </c>
      <c r="B25" s="58" t="s">
        <v>36</v>
      </c>
      <c r="C25" s="58">
        <v>35</v>
      </c>
      <c r="D25" s="64">
        <v>44845</v>
      </c>
      <c r="F25" s="58" t="s">
        <v>39</v>
      </c>
      <c r="G25" s="58">
        <v>34.6</v>
      </c>
      <c r="H25" s="58" t="s">
        <v>38</v>
      </c>
      <c r="I25" s="58" t="s">
        <v>43</v>
      </c>
      <c r="J25" s="58" t="s">
        <v>38</v>
      </c>
      <c r="K25" s="58" t="s">
        <v>51</v>
      </c>
      <c r="L25" s="58" t="s">
        <v>38</v>
      </c>
      <c r="M25" s="58" t="s">
        <v>43</v>
      </c>
      <c r="N25" s="58" t="s">
        <v>38</v>
      </c>
      <c r="O25" s="58" t="s">
        <v>51</v>
      </c>
      <c r="P25" s="58" t="s">
        <v>41</v>
      </c>
      <c r="Q25" s="58"/>
      <c r="R25" s="58" t="s">
        <v>38</v>
      </c>
      <c r="S25" s="58" t="s">
        <v>51</v>
      </c>
      <c r="T25" s="58" t="s">
        <v>41</v>
      </c>
      <c r="U25" s="58"/>
      <c r="V25" s="58" t="s">
        <v>41</v>
      </c>
      <c r="W25" s="58"/>
      <c r="AD25" s="58" t="s">
        <v>99</v>
      </c>
      <c r="AE25" s="66"/>
      <c r="AF25" s="58">
        <v>66</v>
      </c>
      <c r="AG25" s="58" t="e">
        <v>#VALUE!</v>
      </c>
      <c r="AH25" s="58" t="e">
        <v>#VALUE!</v>
      </c>
      <c r="AI25" s="58" t="s">
        <v>37</v>
      </c>
      <c r="AJ25" s="53" t="s">
        <v>41</v>
      </c>
      <c r="AK25" s="53" t="s">
        <v>41</v>
      </c>
      <c r="AL25" s="53" t="s">
        <v>41</v>
      </c>
      <c r="AM25" s="53" t="s">
        <v>38</v>
      </c>
      <c r="AN25" s="53" t="s">
        <v>41</v>
      </c>
      <c r="AO25" s="53" t="s">
        <v>41</v>
      </c>
      <c r="AP25" s="53" t="s">
        <v>41</v>
      </c>
      <c r="AR25" s="58">
        <v>1</v>
      </c>
      <c r="AS25" s="58">
        <v>2</v>
      </c>
    </row>
    <row r="26" spans="1:45" x14ac:dyDescent="0.3">
      <c r="A26" s="53" t="s">
        <v>126</v>
      </c>
      <c r="B26" s="66"/>
      <c r="C26" s="66"/>
      <c r="D26" s="55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AD26" s="66"/>
      <c r="AE26" s="58" t="s">
        <v>115</v>
      </c>
      <c r="AF26" s="66"/>
      <c r="AG26" s="58">
        <v>0</v>
      </c>
      <c r="AH26" s="66" t="e">
        <v>#DIV/0!</v>
      </c>
      <c r="AI26" s="66"/>
      <c r="AR26" s="66"/>
      <c r="AS26" s="66"/>
    </row>
    <row r="27" spans="1:45" x14ac:dyDescent="0.3">
      <c r="A27" s="53" t="s">
        <v>147</v>
      </c>
      <c r="B27" s="58" t="s">
        <v>87</v>
      </c>
      <c r="C27" s="58">
        <v>22</v>
      </c>
      <c r="D27" s="64">
        <v>44889</v>
      </c>
      <c r="F27" s="58" t="s">
        <v>39</v>
      </c>
      <c r="G27" s="58">
        <v>36</v>
      </c>
      <c r="H27" s="58" t="s">
        <v>38</v>
      </c>
      <c r="I27" s="58" t="s">
        <v>150</v>
      </c>
      <c r="J27" s="58" t="s">
        <v>41</v>
      </c>
      <c r="K27" s="55"/>
      <c r="L27" s="55" t="s">
        <v>41</v>
      </c>
      <c r="M27" s="55"/>
      <c r="N27" s="55" t="s">
        <v>41</v>
      </c>
      <c r="O27" s="55"/>
      <c r="P27" s="55" t="s">
        <v>41</v>
      </c>
      <c r="Q27" s="55"/>
      <c r="R27" s="55" t="s">
        <v>38</v>
      </c>
      <c r="S27" s="55" t="s">
        <v>53</v>
      </c>
      <c r="T27" s="55" t="s">
        <v>41</v>
      </c>
      <c r="U27" s="55"/>
      <c r="V27" s="55" t="s">
        <v>41</v>
      </c>
      <c r="W27" s="55"/>
      <c r="AD27" s="58" t="s">
        <v>61</v>
      </c>
      <c r="AE27" s="58" t="s">
        <v>69</v>
      </c>
      <c r="AF27" s="58">
        <v>59</v>
      </c>
      <c r="AG27" s="66">
        <v>1.52</v>
      </c>
      <c r="AH27" s="58">
        <v>25.536703601108034</v>
      </c>
      <c r="AI27" s="58" t="s">
        <v>68</v>
      </c>
      <c r="AJ27" s="53" t="s">
        <v>41</v>
      </c>
      <c r="AK27" s="53" t="s">
        <v>41</v>
      </c>
      <c r="AL27" s="53" t="s">
        <v>41</v>
      </c>
      <c r="AM27" s="53" t="s">
        <v>41</v>
      </c>
      <c r="AN27" s="53" t="s">
        <v>41</v>
      </c>
      <c r="AO27" s="53" t="s">
        <v>41</v>
      </c>
      <c r="AP27" s="53" t="s">
        <v>41</v>
      </c>
      <c r="AR27" s="58">
        <v>3</v>
      </c>
      <c r="AS27" s="58">
        <v>4</v>
      </c>
    </row>
    <row r="28" spans="1:45" x14ac:dyDescent="0.3">
      <c r="A28" s="53" t="s">
        <v>151</v>
      </c>
      <c r="B28" s="58" t="s">
        <v>87</v>
      </c>
      <c r="C28" s="58">
        <v>24</v>
      </c>
      <c r="D28" s="65">
        <v>44705</v>
      </c>
      <c r="E28" s="53" t="s">
        <v>961</v>
      </c>
      <c r="F28" s="58" t="s">
        <v>39</v>
      </c>
      <c r="G28" s="58">
        <v>36</v>
      </c>
      <c r="H28" s="58" t="s">
        <v>38</v>
      </c>
      <c r="I28" s="58" t="s">
        <v>51</v>
      </c>
      <c r="J28" s="58">
        <v>1</v>
      </c>
      <c r="K28" s="58" t="s">
        <v>51</v>
      </c>
      <c r="L28" s="58">
        <v>1</v>
      </c>
      <c r="M28" s="58" t="s">
        <v>43</v>
      </c>
      <c r="N28" s="58">
        <v>1</v>
      </c>
      <c r="O28" s="58" t="s">
        <v>51</v>
      </c>
      <c r="P28" s="58">
        <v>2</v>
      </c>
      <c r="Q28" s="58"/>
      <c r="R28" s="58" t="s">
        <v>38</v>
      </c>
      <c r="S28" s="58" t="s">
        <v>51</v>
      </c>
      <c r="T28" s="58" t="s">
        <v>41</v>
      </c>
      <c r="U28" s="58"/>
      <c r="V28" s="58" t="s">
        <v>41</v>
      </c>
      <c r="W28" s="58"/>
      <c r="AD28" s="58"/>
      <c r="AE28" s="58" t="s">
        <v>158</v>
      </c>
      <c r="AF28" s="58">
        <v>54</v>
      </c>
      <c r="AG28" s="58">
        <v>1.63</v>
      </c>
      <c r="AH28" s="58">
        <v>20.324438255109339</v>
      </c>
      <c r="AI28" s="58" t="s">
        <v>37</v>
      </c>
      <c r="AJ28" s="53" t="s">
        <v>41</v>
      </c>
      <c r="AK28" s="53" t="s">
        <v>41</v>
      </c>
      <c r="AL28" s="53" t="s">
        <v>41</v>
      </c>
      <c r="AM28" s="53" t="s">
        <v>41</v>
      </c>
      <c r="AN28" s="53" t="s">
        <v>41</v>
      </c>
      <c r="AO28" s="53" t="s">
        <v>41</v>
      </c>
      <c r="AP28" s="53" t="s">
        <v>41</v>
      </c>
      <c r="AR28" s="58">
        <v>1</v>
      </c>
      <c r="AS28" s="58">
        <v>2</v>
      </c>
    </row>
    <row r="29" spans="1:45" x14ac:dyDescent="0.3">
      <c r="A29" s="53" t="s">
        <v>154</v>
      </c>
      <c r="B29" s="58" t="s">
        <v>36</v>
      </c>
      <c r="C29" s="58">
        <v>30</v>
      </c>
      <c r="D29" s="65">
        <v>44699</v>
      </c>
      <c r="F29" s="58" t="s">
        <v>39</v>
      </c>
      <c r="G29" s="58">
        <v>36</v>
      </c>
      <c r="H29" s="58" t="s">
        <v>38</v>
      </c>
      <c r="I29" s="58" t="s">
        <v>156</v>
      </c>
      <c r="J29" s="58" t="s">
        <v>38</v>
      </c>
      <c r="K29" s="58" t="s">
        <v>156</v>
      </c>
      <c r="L29" s="58" t="s">
        <v>38</v>
      </c>
      <c r="M29" s="58" t="s">
        <v>157</v>
      </c>
      <c r="N29" s="58" t="s">
        <v>38</v>
      </c>
      <c r="O29" s="58" t="s">
        <v>156</v>
      </c>
      <c r="P29" s="58" t="s">
        <v>41</v>
      </c>
      <c r="Q29" s="58"/>
      <c r="R29" s="58" t="s">
        <v>41</v>
      </c>
      <c r="S29" s="58"/>
      <c r="T29" s="58" t="s">
        <v>38</v>
      </c>
      <c r="U29" s="58" t="s">
        <v>53</v>
      </c>
      <c r="V29" s="58" t="s">
        <v>41</v>
      </c>
      <c r="W29" s="58"/>
      <c r="AD29" s="58" t="s">
        <v>57</v>
      </c>
      <c r="AE29" s="58"/>
      <c r="AF29" s="58">
        <v>50</v>
      </c>
      <c r="AG29" s="58">
        <v>1.66</v>
      </c>
      <c r="AH29" s="58">
        <v>18.144868631151112</v>
      </c>
      <c r="AI29" s="58" t="s">
        <v>37</v>
      </c>
      <c r="AJ29" s="53" t="s">
        <v>41</v>
      </c>
      <c r="AK29" s="53" t="s">
        <v>41</v>
      </c>
      <c r="AL29" s="53" t="s">
        <v>41</v>
      </c>
      <c r="AM29" s="53" t="s">
        <v>41</v>
      </c>
      <c r="AN29" s="53" t="s">
        <v>41</v>
      </c>
      <c r="AO29" s="53" t="s">
        <v>41</v>
      </c>
      <c r="AP29" s="53" t="s">
        <v>41</v>
      </c>
      <c r="AR29" s="58">
        <v>3</v>
      </c>
      <c r="AS29" s="58">
        <v>1</v>
      </c>
    </row>
    <row r="30" spans="1:45" x14ac:dyDescent="0.3">
      <c r="A30" s="53" t="s">
        <v>861</v>
      </c>
      <c r="B30" s="58" t="s">
        <v>87</v>
      </c>
      <c r="C30" s="58">
        <v>27</v>
      </c>
      <c r="D30" s="65">
        <v>44643</v>
      </c>
      <c r="E30" s="53" t="s">
        <v>964</v>
      </c>
      <c r="F30" s="58" t="s">
        <v>39</v>
      </c>
      <c r="G30" s="58"/>
      <c r="H30" s="58" t="s">
        <v>38</v>
      </c>
      <c r="I30" s="58" t="s">
        <v>69</v>
      </c>
      <c r="J30" s="58"/>
      <c r="K30" s="58" t="s">
        <v>41</v>
      </c>
      <c r="L30" s="58" t="s">
        <v>41</v>
      </c>
      <c r="M30" s="58"/>
      <c r="N30" s="58"/>
      <c r="O30" s="58"/>
      <c r="P30" s="58" t="s">
        <v>41</v>
      </c>
      <c r="Q30" s="58"/>
      <c r="R30" s="58" t="s">
        <v>41</v>
      </c>
      <c r="S30" s="58"/>
      <c r="T30" s="58" t="s">
        <v>41</v>
      </c>
      <c r="U30" s="58"/>
      <c r="V30" s="58"/>
      <c r="W30" s="58"/>
      <c r="AD30" s="58"/>
      <c r="AE30" s="58" t="s">
        <v>163</v>
      </c>
      <c r="AF30" s="58" t="s">
        <v>69</v>
      </c>
      <c r="AG30" s="58">
        <v>0</v>
      </c>
      <c r="AH30" s="58" t="e">
        <v>#VALUE!</v>
      </c>
      <c r="AI30" s="58" t="s">
        <v>68</v>
      </c>
      <c r="AR30" s="58"/>
      <c r="AS30" s="58"/>
    </row>
    <row r="31" spans="1:45" x14ac:dyDescent="0.3">
      <c r="A31" s="53" t="s">
        <v>161</v>
      </c>
      <c r="B31" s="58" t="s">
        <v>87</v>
      </c>
      <c r="C31" s="58">
        <v>27</v>
      </c>
      <c r="D31" s="64">
        <v>44450</v>
      </c>
      <c r="F31" s="58" t="s">
        <v>39</v>
      </c>
      <c r="G31" s="58">
        <v>36.4</v>
      </c>
      <c r="H31" s="58" t="s">
        <v>38</v>
      </c>
      <c r="I31" s="58" t="s">
        <v>150</v>
      </c>
      <c r="J31" s="58" t="s">
        <v>38</v>
      </c>
      <c r="K31" s="58" t="s">
        <v>162</v>
      </c>
      <c r="L31" s="58" t="s">
        <v>41</v>
      </c>
      <c r="M31" s="58"/>
      <c r="N31" s="58" t="s">
        <v>41</v>
      </c>
      <c r="O31" s="58"/>
      <c r="P31" s="58" t="s">
        <v>69</v>
      </c>
      <c r="Q31" s="58"/>
      <c r="R31" s="58" t="s">
        <v>41</v>
      </c>
      <c r="S31" s="58"/>
      <c r="T31" s="58" t="s">
        <v>69</v>
      </c>
      <c r="U31" s="58"/>
      <c r="V31" s="58" t="s">
        <v>41</v>
      </c>
      <c r="W31" s="58"/>
      <c r="AD31" s="58" t="s">
        <v>72</v>
      </c>
      <c r="AE31" s="58" t="s">
        <v>166</v>
      </c>
      <c r="AF31" s="58">
        <v>80</v>
      </c>
      <c r="AG31" s="58">
        <v>1.58</v>
      </c>
      <c r="AH31" s="58">
        <v>32.046146450889275</v>
      </c>
      <c r="AI31" s="58" t="s">
        <v>68</v>
      </c>
      <c r="AJ31" s="53" t="s">
        <v>41</v>
      </c>
      <c r="AK31" s="53" t="s">
        <v>41</v>
      </c>
      <c r="AL31" s="53" t="s">
        <v>41</v>
      </c>
      <c r="AM31" s="53" t="s">
        <v>41</v>
      </c>
      <c r="AN31" s="53" t="s">
        <v>41</v>
      </c>
      <c r="AP31" s="53" t="s">
        <v>41</v>
      </c>
      <c r="AR31" s="58">
        <v>1</v>
      </c>
      <c r="AS31" s="58">
        <v>1</v>
      </c>
    </row>
    <row r="32" spans="1:45" x14ac:dyDescent="0.3">
      <c r="A32" s="53" t="s">
        <v>164</v>
      </c>
      <c r="B32" s="58" t="s">
        <v>36</v>
      </c>
      <c r="C32" s="58">
        <v>28</v>
      </c>
      <c r="D32" s="64">
        <v>44450</v>
      </c>
      <c r="E32" s="53" t="s">
        <v>961</v>
      </c>
      <c r="F32" s="53" t="s">
        <v>961</v>
      </c>
      <c r="G32" s="53" t="s">
        <v>961</v>
      </c>
      <c r="H32" s="53" t="s">
        <v>961</v>
      </c>
      <c r="I32" s="53" t="s">
        <v>961</v>
      </c>
      <c r="J32" s="53" t="s">
        <v>961</v>
      </c>
      <c r="K32" s="53" t="s">
        <v>961</v>
      </c>
      <c r="L32" s="53" t="s">
        <v>961</v>
      </c>
      <c r="M32" s="53" t="s">
        <v>961</v>
      </c>
      <c r="N32" s="53" t="s">
        <v>961</v>
      </c>
      <c r="O32" s="53" t="s">
        <v>961</v>
      </c>
      <c r="P32" s="53" t="s">
        <v>961</v>
      </c>
      <c r="Q32" s="53" t="s">
        <v>961</v>
      </c>
      <c r="R32" s="53" t="s">
        <v>961</v>
      </c>
      <c r="S32" s="53" t="s">
        <v>961</v>
      </c>
      <c r="T32" s="53" t="s">
        <v>961</v>
      </c>
      <c r="U32" s="53" t="s">
        <v>961</v>
      </c>
      <c r="V32" s="53" t="s">
        <v>961</v>
      </c>
      <c r="W32" s="53" t="s">
        <v>961</v>
      </c>
      <c r="X32" s="53" t="s">
        <v>961</v>
      </c>
      <c r="Y32" s="53" t="s">
        <v>965</v>
      </c>
      <c r="AD32" s="58" t="s">
        <v>57</v>
      </c>
      <c r="AE32" s="58" t="s">
        <v>118</v>
      </c>
      <c r="AF32" s="58" t="s">
        <v>69</v>
      </c>
      <c r="AG32" s="58" t="e">
        <v>#VALUE!</v>
      </c>
      <c r="AH32" s="58" t="e">
        <v>#VALUE!</v>
      </c>
      <c r="AI32" s="58" t="s">
        <v>68</v>
      </c>
      <c r="AJ32" s="53" t="s">
        <v>41</v>
      </c>
      <c r="AK32" s="53" t="s">
        <v>41</v>
      </c>
      <c r="AL32" s="53" t="s">
        <v>41</v>
      </c>
      <c r="AM32" s="53" t="s">
        <v>41</v>
      </c>
      <c r="AN32" s="53" t="s">
        <v>41</v>
      </c>
      <c r="AR32" s="58">
        <v>2</v>
      </c>
      <c r="AS32" s="58">
        <v>1</v>
      </c>
    </row>
    <row r="33" spans="1:45" x14ac:dyDescent="0.3">
      <c r="A33" s="53" t="s">
        <v>167</v>
      </c>
      <c r="B33" s="58" t="s">
        <v>36</v>
      </c>
      <c r="C33" s="58">
        <v>43</v>
      </c>
      <c r="D33" s="64">
        <v>44595</v>
      </c>
      <c r="F33" s="58" t="s">
        <v>39</v>
      </c>
      <c r="G33" s="58">
        <v>37</v>
      </c>
      <c r="H33" s="58" t="s">
        <v>38</v>
      </c>
      <c r="I33" s="58" t="s">
        <v>43</v>
      </c>
      <c r="J33" s="58" t="s">
        <v>38</v>
      </c>
      <c r="K33" s="58" t="s">
        <v>43</v>
      </c>
      <c r="L33" s="58" t="s">
        <v>104</v>
      </c>
      <c r="M33" s="58" t="s">
        <v>43</v>
      </c>
      <c r="N33" s="58" t="s">
        <v>38</v>
      </c>
      <c r="O33" s="58" t="s">
        <v>43</v>
      </c>
      <c r="P33" s="58" t="s">
        <v>38</v>
      </c>
      <c r="Q33" s="58" t="s">
        <v>43</v>
      </c>
      <c r="R33" s="58" t="s">
        <v>38</v>
      </c>
      <c r="S33" s="58" t="s">
        <v>43</v>
      </c>
      <c r="T33" s="58" t="s">
        <v>41</v>
      </c>
      <c r="U33" s="58"/>
      <c r="V33" s="58" t="s">
        <v>169</v>
      </c>
      <c r="W33" s="58"/>
      <c r="AD33" s="58" t="s">
        <v>45</v>
      </c>
      <c r="AE33" s="58" t="s">
        <v>166</v>
      </c>
      <c r="AF33" s="58">
        <v>57</v>
      </c>
      <c r="AG33" s="58" t="e">
        <v>#VALUE!</v>
      </c>
      <c r="AH33" s="58" t="e">
        <v>#VALUE!</v>
      </c>
      <c r="AI33" s="58" t="s">
        <v>68</v>
      </c>
      <c r="AJ33" s="53" t="s">
        <v>41</v>
      </c>
      <c r="AK33" s="53" t="s">
        <v>41</v>
      </c>
      <c r="AL33" s="53" t="s">
        <v>38</v>
      </c>
      <c r="AM33" s="53" t="s">
        <v>38</v>
      </c>
      <c r="AN33" s="53" t="s">
        <v>41</v>
      </c>
      <c r="AR33" s="58">
        <v>2</v>
      </c>
      <c r="AS33" s="58">
        <v>1</v>
      </c>
    </row>
    <row r="34" spans="1:45" x14ac:dyDescent="0.3">
      <c r="A34" s="53" t="s">
        <v>170</v>
      </c>
      <c r="B34" s="58" t="s">
        <v>36</v>
      </c>
      <c r="C34" s="58">
        <v>52</v>
      </c>
      <c r="D34" s="61">
        <v>44510</v>
      </c>
      <c r="F34" s="58" t="s">
        <v>39</v>
      </c>
      <c r="G34" s="58">
        <v>36.700000000000003</v>
      </c>
      <c r="H34" s="58" t="s">
        <v>38</v>
      </c>
      <c r="I34" s="58" t="s">
        <v>165</v>
      </c>
      <c r="J34" s="58" t="s">
        <v>38</v>
      </c>
      <c r="K34" s="58" t="s">
        <v>43</v>
      </c>
      <c r="L34" s="58" t="s">
        <v>38</v>
      </c>
      <c r="M34" s="58" t="s">
        <v>50</v>
      </c>
      <c r="N34" s="58" t="s">
        <v>38</v>
      </c>
      <c r="O34" s="58" t="s">
        <v>50</v>
      </c>
      <c r="P34" s="58" t="s">
        <v>41</v>
      </c>
      <c r="Q34" s="58"/>
      <c r="R34" s="58" t="s">
        <v>41</v>
      </c>
      <c r="S34" s="58"/>
      <c r="T34" s="58" t="s">
        <v>38</v>
      </c>
      <c r="U34" s="58" t="s">
        <v>165</v>
      </c>
      <c r="V34" s="58" t="s">
        <v>41</v>
      </c>
      <c r="W34" s="58"/>
      <c r="AD34" s="58" t="s">
        <v>172</v>
      </c>
      <c r="AE34" s="58" t="s">
        <v>174</v>
      </c>
      <c r="AF34" s="58">
        <v>42</v>
      </c>
      <c r="AG34" s="58">
        <v>1.72</v>
      </c>
      <c r="AH34" s="58">
        <v>14.196863169280693</v>
      </c>
      <c r="AI34" s="58" t="s">
        <v>68</v>
      </c>
      <c r="AJ34" s="53" t="s">
        <v>41</v>
      </c>
      <c r="AK34" s="53" t="s">
        <v>41</v>
      </c>
      <c r="AL34" s="53" t="s">
        <v>38</v>
      </c>
      <c r="AM34" s="53" t="s">
        <v>41</v>
      </c>
      <c r="AN34" s="53" t="s">
        <v>41</v>
      </c>
      <c r="AR34" s="58">
        <v>1</v>
      </c>
      <c r="AS34" s="58">
        <v>1</v>
      </c>
    </row>
    <row r="35" spans="1:45" x14ac:dyDescent="0.3">
      <c r="A35" s="53" t="s">
        <v>173</v>
      </c>
      <c r="B35" s="58" t="s">
        <v>87</v>
      </c>
      <c r="C35" s="58">
        <v>23</v>
      </c>
      <c r="D35" s="61">
        <v>44510</v>
      </c>
      <c r="F35" s="58" t="s">
        <v>39</v>
      </c>
      <c r="G35" s="58">
        <v>36.4</v>
      </c>
      <c r="H35" s="58" t="s">
        <v>38</v>
      </c>
      <c r="I35" s="58" t="s">
        <v>110</v>
      </c>
      <c r="J35" s="58" t="s">
        <v>38</v>
      </c>
      <c r="K35" s="58" t="s">
        <v>51</v>
      </c>
      <c r="L35" s="58" t="s">
        <v>38</v>
      </c>
      <c r="M35" s="58" t="s">
        <v>65</v>
      </c>
      <c r="N35" s="58" t="s">
        <v>41</v>
      </c>
      <c r="O35" s="58"/>
      <c r="P35" s="58" t="s">
        <v>41</v>
      </c>
      <c r="Q35" s="58"/>
      <c r="R35" s="58" t="s">
        <v>41</v>
      </c>
      <c r="S35" s="58"/>
      <c r="T35" s="58" t="s">
        <v>41</v>
      </c>
      <c r="U35" s="58"/>
      <c r="V35" s="58" t="s">
        <v>41</v>
      </c>
      <c r="W35" s="58"/>
      <c r="AD35" s="58" t="s">
        <v>175</v>
      </c>
      <c r="AE35" s="58" t="s">
        <v>178</v>
      </c>
      <c r="AF35" s="58">
        <v>65</v>
      </c>
      <c r="AG35" s="58">
        <v>1.5449999999999999</v>
      </c>
      <c r="AH35" s="58">
        <v>27.230548486086239</v>
      </c>
      <c r="AI35" s="58" t="s">
        <v>68</v>
      </c>
      <c r="AJ35" s="53" t="s">
        <v>41</v>
      </c>
      <c r="AK35" s="53" t="s">
        <v>41</v>
      </c>
      <c r="AL35" s="53" t="s">
        <v>41</v>
      </c>
      <c r="AM35" s="53" t="s">
        <v>41</v>
      </c>
      <c r="AN35" s="53" t="s">
        <v>41</v>
      </c>
      <c r="AR35" s="58">
        <v>4</v>
      </c>
      <c r="AS35" s="58">
        <v>3</v>
      </c>
    </row>
    <row r="36" spans="1:45" x14ac:dyDescent="0.3">
      <c r="A36" s="53" t="s">
        <v>176</v>
      </c>
      <c r="B36" s="58" t="s">
        <v>36</v>
      </c>
      <c r="C36" s="58">
        <v>28</v>
      </c>
      <c r="D36" s="61">
        <v>44510</v>
      </c>
      <c r="F36" s="58" t="s">
        <v>39</v>
      </c>
      <c r="G36" s="58">
        <v>36.6</v>
      </c>
      <c r="H36" s="58" t="s">
        <v>38</v>
      </c>
      <c r="I36" s="58" t="s">
        <v>64</v>
      </c>
      <c r="J36" s="58" t="s">
        <v>41</v>
      </c>
      <c r="K36" s="58"/>
      <c r="L36" s="58" t="s">
        <v>38</v>
      </c>
      <c r="M36" s="58" t="s">
        <v>64</v>
      </c>
      <c r="N36" s="58" t="s">
        <v>41</v>
      </c>
      <c r="O36" s="58"/>
      <c r="P36" s="58" t="s">
        <v>41</v>
      </c>
      <c r="Q36" s="58"/>
      <c r="R36" s="58" t="s">
        <v>38</v>
      </c>
      <c r="S36" s="58" t="s">
        <v>114</v>
      </c>
      <c r="T36" s="58" t="s">
        <v>41</v>
      </c>
      <c r="U36" s="58"/>
      <c r="V36" s="58"/>
      <c r="W36" s="58"/>
      <c r="AD36" s="58" t="s">
        <v>45</v>
      </c>
      <c r="AE36" s="58"/>
      <c r="AF36" s="58">
        <v>45</v>
      </c>
      <c r="AG36" s="58">
        <v>1.66</v>
      </c>
      <c r="AH36" s="58">
        <v>16.330381768036002</v>
      </c>
      <c r="AI36" s="58" t="s">
        <v>68</v>
      </c>
      <c r="AJ36" s="53" t="s">
        <v>41</v>
      </c>
      <c r="AK36" s="53" t="s">
        <v>41</v>
      </c>
      <c r="AL36" s="53" t="s">
        <v>38</v>
      </c>
      <c r="AM36" s="53" t="s">
        <v>41</v>
      </c>
      <c r="AN36" s="53" t="s">
        <v>41</v>
      </c>
      <c r="AR36" s="58">
        <v>1</v>
      </c>
      <c r="AS36" s="58">
        <v>1</v>
      </c>
    </row>
    <row r="37" spans="1:45" x14ac:dyDescent="0.3">
      <c r="A37" s="53" t="s">
        <v>859</v>
      </c>
      <c r="B37" s="58" t="s">
        <v>87</v>
      </c>
      <c r="C37" s="58">
        <v>26</v>
      </c>
      <c r="D37" s="61">
        <v>44627</v>
      </c>
      <c r="F37" s="58" t="s">
        <v>39</v>
      </c>
      <c r="G37" s="58">
        <v>37</v>
      </c>
      <c r="H37" s="58" t="s">
        <v>41</v>
      </c>
      <c r="I37" s="58"/>
      <c r="J37" s="58" t="s">
        <v>41</v>
      </c>
      <c r="K37" s="58"/>
      <c r="L37" s="58" t="s">
        <v>41</v>
      </c>
      <c r="M37" s="58"/>
      <c r="N37" s="58" t="s">
        <v>41</v>
      </c>
      <c r="O37" s="58"/>
      <c r="P37" s="58" t="s">
        <v>41</v>
      </c>
      <c r="Q37" s="58"/>
      <c r="R37" s="58" t="s">
        <v>38</v>
      </c>
      <c r="S37" s="58" t="s">
        <v>43</v>
      </c>
      <c r="T37" s="58"/>
      <c r="U37" s="58"/>
      <c r="V37" s="58"/>
      <c r="W37" s="58"/>
      <c r="AD37" s="58"/>
      <c r="AE37" s="58" t="s">
        <v>437</v>
      </c>
      <c r="AF37" s="58">
        <v>50</v>
      </c>
      <c r="AG37" s="58">
        <v>0</v>
      </c>
      <c r="AH37" s="58" t="e">
        <v>#DIV/0!</v>
      </c>
      <c r="AI37" s="58" t="s">
        <v>37</v>
      </c>
      <c r="AM37" s="53" t="s">
        <v>41</v>
      </c>
      <c r="AR37" s="58"/>
      <c r="AS37" s="58"/>
    </row>
    <row r="38" spans="1:45" x14ac:dyDescent="0.3">
      <c r="A38" s="53" t="s">
        <v>89</v>
      </c>
      <c r="B38" s="58" t="s">
        <v>36</v>
      </c>
      <c r="C38" s="58">
        <v>66</v>
      </c>
      <c r="D38" s="63">
        <v>44875</v>
      </c>
      <c r="F38" s="58" t="s">
        <v>39</v>
      </c>
      <c r="G38" s="58">
        <v>37</v>
      </c>
      <c r="H38" s="58" t="s">
        <v>38</v>
      </c>
      <c r="I38" s="58" t="s">
        <v>55</v>
      </c>
      <c r="J38" s="58" t="s">
        <v>41</v>
      </c>
      <c r="K38" s="58"/>
      <c r="L38" s="58" t="s">
        <v>41</v>
      </c>
      <c r="M38" s="58"/>
      <c r="N38" s="58" t="s">
        <v>41</v>
      </c>
      <c r="O38" s="58"/>
      <c r="P38" s="58" t="s">
        <v>41</v>
      </c>
      <c r="Q38" s="58"/>
      <c r="R38" s="58" t="s">
        <v>41</v>
      </c>
      <c r="S38" s="58"/>
      <c r="T38" s="58" t="s">
        <v>41</v>
      </c>
      <c r="U38" s="58"/>
      <c r="V38" s="58" t="s">
        <v>41</v>
      </c>
      <c r="W38" s="58"/>
      <c r="AD38" s="58" t="s">
        <v>72</v>
      </c>
      <c r="AE38" s="58" t="s">
        <v>71</v>
      </c>
      <c r="AF38" s="58">
        <v>45</v>
      </c>
      <c r="AG38" s="58">
        <v>1.55</v>
      </c>
      <c r="AH38" s="58">
        <v>18.730489073881373</v>
      </c>
      <c r="AI38" s="58" t="s">
        <v>188</v>
      </c>
      <c r="AJ38" s="53" t="s">
        <v>41</v>
      </c>
      <c r="AK38" s="53" t="s">
        <v>41</v>
      </c>
      <c r="AL38" s="53" t="s">
        <v>38</v>
      </c>
      <c r="AM38" s="53" t="s">
        <v>38</v>
      </c>
      <c r="AN38" s="53" t="s">
        <v>41</v>
      </c>
      <c r="AO38" s="53" t="s">
        <v>41</v>
      </c>
      <c r="AP38" s="53" t="s">
        <v>41</v>
      </c>
      <c r="AQ38" s="53" t="s">
        <v>41</v>
      </c>
      <c r="AR38" s="58">
        <v>8</v>
      </c>
      <c r="AS38" s="58">
        <v>5</v>
      </c>
    </row>
    <row r="39" spans="1:45" x14ac:dyDescent="0.3">
      <c r="A39" s="53" t="s">
        <v>186</v>
      </c>
      <c r="B39" s="58" t="s">
        <v>36</v>
      </c>
      <c r="C39" s="58">
        <v>23</v>
      </c>
      <c r="D39" s="64">
        <v>44806</v>
      </c>
      <c r="F39" s="58" t="s">
        <v>182</v>
      </c>
      <c r="G39" s="58">
        <v>36.799999999999997</v>
      </c>
      <c r="H39" s="58" t="s">
        <v>38</v>
      </c>
      <c r="I39" s="58" t="s">
        <v>43</v>
      </c>
      <c r="J39" s="58" t="s">
        <v>38</v>
      </c>
      <c r="K39" s="58"/>
      <c r="L39" s="58" t="s">
        <v>38</v>
      </c>
      <c r="M39" s="58" t="s">
        <v>51</v>
      </c>
      <c r="N39" s="58" t="s">
        <v>41</v>
      </c>
      <c r="O39" s="58"/>
      <c r="P39" s="58" t="s">
        <v>38</v>
      </c>
      <c r="Q39" s="58"/>
      <c r="R39" s="58" t="s">
        <v>41</v>
      </c>
      <c r="S39" s="58"/>
      <c r="T39" s="58" t="s">
        <v>38</v>
      </c>
      <c r="U39" s="58" t="s">
        <v>53</v>
      </c>
      <c r="V39" s="58"/>
      <c r="W39" s="58"/>
      <c r="AD39" s="58" t="s">
        <v>99</v>
      </c>
      <c r="AE39" s="58"/>
      <c r="AF39" s="58">
        <v>45</v>
      </c>
      <c r="AG39" s="58" t="e">
        <v>#VALUE!</v>
      </c>
      <c r="AH39" s="58" t="e">
        <v>#VALUE!</v>
      </c>
      <c r="AI39" s="58" t="s">
        <v>68</v>
      </c>
      <c r="AJ39" s="53" t="s">
        <v>41</v>
      </c>
      <c r="AK39" s="53" t="s">
        <v>41</v>
      </c>
      <c r="AL39" s="53" t="s">
        <v>41</v>
      </c>
      <c r="AM39" s="53" t="s">
        <v>41</v>
      </c>
      <c r="AN39" s="53" t="s">
        <v>41</v>
      </c>
      <c r="AR39" s="58">
        <v>2</v>
      </c>
      <c r="AS39" s="58">
        <v>4</v>
      </c>
    </row>
    <row r="40" spans="1:45" x14ac:dyDescent="0.3">
      <c r="A40" s="53" t="s">
        <v>870</v>
      </c>
      <c r="B40" s="58" t="s">
        <v>188</v>
      </c>
      <c r="C40" s="58" t="s">
        <v>188</v>
      </c>
      <c r="D40" s="58" t="s">
        <v>188</v>
      </c>
      <c r="F40" s="58" t="s">
        <v>182</v>
      </c>
      <c r="G40" s="58">
        <v>37</v>
      </c>
      <c r="H40" s="58" t="s">
        <v>38</v>
      </c>
      <c r="I40" s="58" t="s">
        <v>52</v>
      </c>
      <c r="J40" s="58" t="s">
        <v>41</v>
      </c>
      <c r="K40" s="58"/>
      <c r="L40" s="58" t="s">
        <v>41</v>
      </c>
      <c r="M40" s="58"/>
      <c r="N40" s="58" t="s">
        <v>41</v>
      </c>
      <c r="O40" s="58"/>
      <c r="P40" s="58" t="s">
        <v>41</v>
      </c>
      <c r="Q40" s="58"/>
      <c r="R40" s="58" t="s">
        <v>41</v>
      </c>
      <c r="S40" s="58"/>
      <c r="T40" s="58" t="s">
        <v>41</v>
      </c>
      <c r="U40" s="58"/>
      <c r="V40" s="58" t="s">
        <v>190</v>
      </c>
      <c r="W40" s="58"/>
      <c r="AD40" s="58"/>
      <c r="AE40" s="58" t="s">
        <v>198</v>
      </c>
      <c r="AF40" s="58" t="s">
        <v>69</v>
      </c>
      <c r="AG40" s="58">
        <v>0</v>
      </c>
      <c r="AH40" s="58" t="e">
        <v>#VALUE!</v>
      </c>
      <c r="AI40" s="58" t="s">
        <v>188</v>
      </c>
      <c r="AR40" s="58"/>
      <c r="AS40" s="58"/>
    </row>
    <row r="41" spans="1:45" x14ac:dyDescent="0.3">
      <c r="A41" s="53" t="s">
        <v>191</v>
      </c>
      <c r="B41" s="58" t="s">
        <v>87</v>
      </c>
      <c r="C41" s="58">
        <v>32</v>
      </c>
      <c r="D41" s="61">
        <v>44602</v>
      </c>
      <c r="F41" s="58" t="s">
        <v>182</v>
      </c>
      <c r="G41" s="58">
        <v>37</v>
      </c>
      <c r="H41" s="58" t="s">
        <v>40</v>
      </c>
      <c r="I41" s="58" t="s">
        <v>193</v>
      </c>
      <c r="J41" s="58" t="s">
        <v>40</v>
      </c>
      <c r="K41" s="58" t="s">
        <v>194</v>
      </c>
      <c r="L41" s="58" t="s">
        <v>40</v>
      </c>
      <c r="M41" s="58" t="s">
        <v>195</v>
      </c>
      <c r="N41" s="58" t="s">
        <v>40</v>
      </c>
      <c r="O41" s="58" t="s">
        <v>193</v>
      </c>
      <c r="P41" s="58" t="s">
        <v>41</v>
      </c>
      <c r="Q41" s="58"/>
      <c r="R41" s="58" t="s">
        <v>40</v>
      </c>
      <c r="S41" s="58"/>
      <c r="T41" s="58" t="s">
        <v>196</v>
      </c>
      <c r="U41" s="58"/>
      <c r="V41" s="58" t="s">
        <v>197</v>
      </c>
      <c r="W41" s="58"/>
      <c r="AD41" s="58" t="s">
        <v>199</v>
      </c>
      <c r="AE41" s="58"/>
      <c r="AF41" s="58">
        <v>58</v>
      </c>
      <c r="AG41" s="58">
        <v>1.65</v>
      </c>
      <c r="AH41" s="58">
        <v>21.30394857667585</v>
      </c>
      <c r="AI41" s="58" t="s">
        <v>68</v>
      </c>
      <c r="AJ41" s="53" t="s">
        <v>196</v>
      </c>
      <c r="AK41" s="53" t="s">
        <v>196</v>
      </c>
      <c r="AL41" s="53" t="s">
        <v>196</v>
      </c>
      <c r="AM41" s="53" t="s">
        <v>196</v>
      </c>
      <c r="AN41" s="53" t="s">
        <v>196</v>
      </c>
      <c r="AR41" s="58">
        <v>1</v>
      </c>
      <c r="AS41" s="58">
        <v>1</v>
      </c>
    </row>
    <row r="42" spans="1:45" x14ac:dyDescent="0.3">
      <c r="A42" s="53" t="s">
        <v>871</v>
      </c>
      <c r="B42" s="58" t="s">
        <v>87</v>
      </c>
      <c r="C42" s="58">
        <v>32</v>
      </c>
      <c r="D42" s="61">
        <v>44657</v>
      </c>
      <c r="F42" s="58" t="s">
        <v>182</v>
      </c>
      <c r="G42" s="58"/>
      <c r="H42" s="58"/>
      <c r="I42" s="58"/>
      <c r="J42" s="58" t="s">
        <v>41</v>
      </c>
      <c r="K42" s="58"/>
      <c r="L42" s="58" t="s">
        <v>41</v>
      </c>
      <c r="M42" s="58" t="s">
        <v>41</v>
      </c>
      <c r="N42" s="58" t="s">
        <v>41</v>
      </c>
      <c r="O42" s="58"/>
      <c r="P42" s="58" t="s">
        <v>41</v>
      </c>
      <c r="Q42" s="58"/>
      <c r="R42" s="58" t="s">
        <v>41</v>
      </c>
      <c r="S42" s="58"/>
      <c r="T42" s="58" t="s">
        <v>41</v>
      </c>
      <c r="U42" s="58"/>
      <c r="V42" s="58"/>
      <c r="W42" s="58"/>
      <c r="AD42" s="58"/>
      <c r="AE42" s="58" t="s">
        <v>141</v>
      </c>
      <c r="AF42" s="58">
        <v>65</v>
      </c>
      <c r="AG42" s="58">
        <v>0</v>
      </c>
      <c r="AH42" s="58" t="e">
        <v>#DIV/0!</v>
      </c>
      <c r="AI42" s="58" t="s">
        <v>68</v>
      </c>
      <c r="AR42" s="58"/>
      <c r="AS42" s="58"/>
    </row>
    <row r="43" spans="1:45" x14ac:dyDescent="0.3">
      <c r="A43" s="53" t="s">
        <v>202</v>
      </c>
      <c r="B43" s="58" t="s">
        <v>36</v>
      </c>
      <c r="C43" s="58">
        <v>19</v>
      </c>
      <c r="D43" s="61">
        <v>44602</v>
      </c>
      <c r="F43" s="58" t="s">
        <v>182</v>
      </c>
      <c r="G43" s="58">
        <v>36</v>
      </c>
      <c r="H43" s="58" t="s">
        <v>38</v>
      </c>
      <c r="I43" s="58" t="s">
        <v>43</v>
      </c>
      <c r="J43" s="58" t="s">
        <v>38</v>
      </c>
      <c r="K43" s="58" t="s">
        <v>43</v>
      </c>
      <c r="L43" s="58" t="s">
        <v>38</v>
      </c>
      <c r="M43" s="58" t="s">
        <v>195</v>
      </c>
      <c r="N43" s="58" t="s">
        <v>38</v>
      </c>
      <c r="O43" s="58" t="s">
        <v>43</v>
      </c>
      <c r="P43" s="58" t="s">
        <v>41</v>
      </c>
      <c r="Q43" s="58"/>
      <c r="R43" s="58" t="s">
        <v>41</v>
      </c>
      <c r="S43" s="58"/>
      <c r="T43" s="58" t="s">
        <v>41</v>
      </c>
      <c r="U43" s="58"/>
      <c r="V43" s="58"/>
      <c r="W43" s="58"/>
      <c r="AD43" s="58" t="s">
        <v>72</v>
      </c>
      <c r="AE43" s="58"/>
      <c r="AF43" s="58">
        <v>46</v>
      </c>
      <c r="AG43" s="58">
        <v>1.51</v>
      </c>
      <c r="AH43" s="58">
        <v>20.174553747642648</v>
      </c>
      <c r="AI43" s="58" t="s">
        <v>68</v>
      </c>
      <c r="AJ43" s="53" t="s">
        <v>41</v>
      </c>
      <c r="AK43" s="53" t="s">
        <v>41</v>
      </c>
      <c r="AL43" s="53" t="s">
        <v>41</v>
      </c>
      <c r="AM43" s="53" t="s">
        <v>41</v>
      </c>
      <c r="AN43" s="53" t="s">
        <v>41</v>
      </c>
      <c r="AR43" s="58">
        <v>3</v>
      </c>
      <c r="AS43" s="58">
        <v>2</v>
      </c>
    </row>
    <row r="44" spans="1:45" x14ac:dyDescent="0.3">
      <c r="A44" s="53" t="s">
        <v>872</v>
      </c>
      <c r="B44" s="58" t="s">
        <v>36</v>
      </c>
      <c r="C44" s="58" t="s">
        <v>188</v>
      </c>
      <c r="D44" s="65">
        <v>44658</v>
      </c>
      <c r="F44" s="58" t="s">
        <v>182</v>
      </c>
      <c r="G44" s="58">
        <v>37</v>
      </c>
      <c r="H44" s="58" t="s">
        <v>38</v>
      </c>
      <c r="I44" s="58" t="s">
        <v>53</v>
      </c>
      <c r="J44" s="58" t="s">
        <v>41</v>
      </c>
      <c r="K44" s="58"/>
      <c r="L44" s="58" t="s">
        <v>41</v>
      </c>
      <c r="M44" s="58"/>
      <c r="N44" s="58" t="s">
        <v>41</v>
      </c>
      <c r="O44" s="58"/>
      <c r="P44" s="58" t="s">
        <v>41</v>
      </c>
      <c r="Q44" s="58"/>
      <c r="R44" s="58" t="s">
        <v>41</v>
      </c>
      <c r="S44" s="58"/>
      <c r="T44" s="58" t="s">
        <v>41</v>
      </c>
      <c r="U44" s="58"/>
      <c r="V44" s="58" t="s">
        <v>41</v>
      </c>
      <c r="W44" s="58"/>
      <c r="AD44" s="58"/>
      <c r="AE44" s="58" t="s">
        <v>69</v>
      </c>
      <c r="AF44" s="58">
        <v>48</v>
      </c>
      <c r="AG44" s="58">
        <v>0</v>
      </c>
      <c r="AH44" s="58" t="e">
        <v>#DIV/0!</v>
      </c>
      <c r="AI44" s="58" t="s">
        <v>68</v>
      </c>
      <c r="AR44" s="58"/>
      <c r="AS44" s="58"/>
    </row>
    <row r="45" spans="1:45" x14ac:dyDescent="0.3">
      <c r="A45" s="53" t="s">
        <v>206</v>
      </c>
      <c r="B45" s="58" t="s">
        <v>36</v>
      </c>
      <c r="C45" s="58">
        <v>21</v>
      </c>
      <c r="D45" s="63">
        <v>44602</v>
      </c>
      <c r="F45" s="58" t="s">
        <v>39</v>
      </c>
      <c r="G45" s="58">
        <v>37</v>
      </c>
      <c r="H45" s="58" t="s">
        <v>38</v>
      </c>
      <c r="I45" s="58" t="s">
        <v>165</v>
      </c>
      <c r="J45" s="58" t="s">
        <v>38</v>
      </c>
      <c r="K45" s="58" t="s">
        <v>55</v>
      </c>
      <c r="L45" s="58" t="s">
        <v>38</v>
      </c>
      <c r="M45" s="58" t="s">
        <v>165</v>
      </c>
      <c r="N45" s="58" t="s">
        <v>38</v>
      </c>
      <c r="O45" s="58" t="s">
        <v>165</v>
      </c>
      <c r="P45" s="58" t="s">
        <v>38</v>
      </c>
      <c r="Q45" s="58" t="s">
        <v>55</v>
      </c>
      <c r="R45" s="58" t="s">
        <v>38</v>
      </c>
      <c r="S45" s="58" t="s">
        <v>165</v>
      </c>
      <c r="T45" s="58" t="s">
        <v>38</v>
      </c>
      <c r="U45" s="58" t="s">
        <v>53</v>
      </c>
      <c r="V45" s="58" t="s">
        <v>41</v>
      </c>
      <c r="W45" s="58"/>
      <c r="AD45" s="58" t="s">
        <v>57</v>
      </c>
      <c r="AE45" s="58"/>
      <c r="AF45" s="58">
        <v>50</v>
      </c>
      <c r="AG45" s="58" t="e">
        <v>#VALUE!</v>
      </c>
      <c r="AH45" s="58" t="e">
        <v>#VALUE!</v>
      </c>
      <c r="AI45" s="58" t="s">
        <v>68</v>
      </c>
      <c r="AJ45" s="53" t="s">
        <v>41</v>
      </c>
      <c r="AK45" s="53" t="s">
        <v>41</v>
      </c>
      <c r="AL45" s="53" t="s">
        <v>38</v>
      </c>
      <c r="AM45" s="53" t="s">
        <v>41</v>
      </c>
      <c r="AN45" s="53" t="s">
        <v>41</v>
      </c>
      <c r="AR45" s="58" t="s">
        <v>69</v>
      </c>
      <c r="AS45" s="58" t="s">
        <v>69</v>
      </c>
    </row>
    <row r="46" spans="1:45" x14ac:dyDescent="0.3">
      <c r="A46" s="53" t="s">
        <v>873</v>
      </c>
      <c r="B46" s="58" t="s">
        <v>36</v>
      </c>
      <c r="C46" s="58">
        <v>21</v>
      </c>
      <c r="D46" s="65">
        <v>44662</v>
      </c>
      <c r="F46" s="58" t="s">
        <v>39</v>
      </c>
      <c r="G46" s="58">
        <v>37</v>
      </c>
      <c r="H46" s="58" t="s">
        <v>38</v>
      </c>
      <c r="I46" s="58" t="s">
        <v>146</v>
      </c>
      <c r="J46" s="58" t="s">
        <v>38</v>
      </c>
      <c r="K46" s="58" t="s">
        <v>51</v>
      </c>
      <c r="L46" s="58" t="s">
        <v>38</v>
      </c>
      <c r="M46" s="58" t="s">
        <v>43</v>
      </c>
      <c r="N46" s="58" t="s">
        <v>38</v>
      </c>
      <c r="O46" s="58" t="s">
        <v>43</v>
      </c>
      <c r="P46" s="58" t="s">
        <v>38</v>
      </c>
      <c r="Q46" s="58" t="s">
        <v>146</v>
      </c>
      <c r="R46" s="58" t="s">
        <v>104</v>
      </c>
      <c r="S46" s="58" t="s">
        <v>146</v>
      </c>
      <c r="T46" s="58" t="s">
        <v>38</v>
      </c>
      <c r="U46" s="58" t="s">
        <v>53</v>
      </c>
      <c r="V46" s="58" t="s">
        <v>208</v>
      </c>
      <c r="W46" s="58"/>
      <c r="AD46" s="58"/>
      <c r="AE46" s="58" t="s">
        <v>79</v>
      </c>
      <c r="AF46" s="58"/>
      <c r="AG46" s="58">
        <v>0</v>
      </c>
      <c r="AH46" s="58" t="e">
        <v>#DIV/0!</v>
      </c>
      <c r="AI46" s="58" t="s">
        <v>68</v>
      </c>
      <c r="AR46" s="58"/>
      <c r="AS46" s="58"/>
    </row>
    <row r="47" spans="1:45" x14ac:dyDescent="0.3">
      <c r="A47" s="53" t="s">
        <v>209</v>
      </c>
      <c r="B47" s="58" t="s">
        <v>87</v>
      </c>
      <c r="C47" s="58">
        <v>21</v>
      </c>
      <c r="D47" s="61">
        <v>44508</v>
      </c>
      <c r="F47" s="58" t="s">
        <v>39</v>
      </c>
      <c r="G47" s="58" t="s">
        <v>69</v>
      </c>
      <c r="H47" s="58" t="s">
        <v>38</v>
      </c>
      <c r="I47" s="58" t="s">
        <v>43</v>
      </c>
      <c r="J47" s="58" t="s">
        <v>38</v>
      </c>
      <c r="K47" s="58" t="s">
        <v>43</v>
      </c>
      <c r="L47" s="58" t="s">
        <v>38</v>
      </c>
      <c r="M47" s="58" t="s">
        <v>52</v>
      </c>
      <c r="N47" s="58" t="s">
        <v>38</v>
      </c>
      <c r="O47" s="58" t="s">
        <v>51</v>
      </c>
      <c r="P47" s="58" t="s">
        <v>41</v>
      </c>
      <c r="Q47" s="58"/>
      <c r="R47" s="58" t="s">
        <v>38</v>
      </c>
      <c r="S47" s="58" t="s">
        <v>51</v>
      </c>
      <c r="T47" s="58" t="s">
        <v>41</v>
      </c>
      <c r="U47" s="58"/>
      <c r="V47" s="58" t="s">
        <v>41</v>
      </c>
      <c r="W47" s="58"/>
      <c r="AD47" s="58" t="s">
        <v>45</v>
      </c>
      <c r="AE47" s="58" t="s">
        <v>166</v>
      </c>
      <c r="AF47" s="58">
        <v>48</v>
      </c>
      <c r="AG47" s="58">
        <v>1.67</v>
      </c>
      <c r="AH47" s="58">
        <v>17.21108680841909</v>
      </c>
      <c r="AI47" s="58" t="s">
        <v>68</v>
      </c>
      <c r="AJ47" s="53" t="s">
        <v>41</v>
      </c>
      <c r="AK47" s="53" t="s">
        <v>41</v>
      </c>
      <c r="AL47" s="53" t="s">
        <v>41</v>
      </c>
      <c r="AM47" s="53" t="s">
        <v>41</v>
      </c>
      <c r="AN47" s="53" t="s">
        <v>41</v>
      </c>
      <c r="AP47" s="53" t="s">
        <v>41</v>
      </c>
      <c r="AR47" s="58">
        <v>4</v>
      </c>
      <c r="AS47" s="58">
        <v>2</v>
      </c>
    </row>
    <row r="48" spans="1:45" x14ac:dyDescent="0.3">
      <c r="A48" s="53" t="s">
        <v>210</v>
      </c>
      <c r="B48" s="58" t="s">
        <v>87</v>
      </c>
      <c r="C48" s="58">
        <v>51</v>
      </c>
      <c r="D48" s="61">
        <v>44509</v>
      </c>
      <c r="F48" s="58" t="s">
        <v>39</v>
      </c>
      <c r="G48" s="58">
        <v>36.799999999999997</v>
      </c>
      <c r="H48" s="58" t="s">
        <v>38</v>
      </c>
      <c r="I48" s="58" t="s">
        <v>43</v>
      </c>
      <c r="J48" s="58" t="s">
        <v>41</v>
      </c>
      <c r="K48" s="58"/>
      <c r="L48" s="58" t="s">
        <v>38</v>
      </c>
      <c r="M48" s="58" t="s">
        <v>43</v>
      </c>
      <c r="N48" s="58" t="s">
        <v>41</v>
      </c>
      <c r="O48" s="58"/>
      <c r="P48" s="58" t="s">
        <v>41</v>
      </c>
      <c r="Q48" s="58"/>
      <c r="R48" s="58" t="s">
        <v>38</v>
      </c>
      <c r="S48" s="58" t="s">
        <v>43</v>
      </c>
      <c r="T48" s="58" t="s">
        <v>41</v>
      </c>
      <c r="U48" s="58"/>
      <c r="V48" s="58" t="s">
        <v>41</v>
      </c>
      <c r="W48" s="58"/>
      <c r="AD48" s="58" t="s">
        <v>57</v>
      </c>
      <c r="AE48" s="58" t="s">
        <v>214</v>
      </c>
      <c r="AF48" s="58">
        <v>65</v>
      </c>
      <c r="AG48" s="58">
        <v>1.63</v>
      </c>
      <c r="AH48" s="58">
        <v>24.464601603372351</v>
      </c>
      <c r="AI48" s="58" t="s">
        <v>68</v>
      </c>
      <c r="AJ48" s="53" t="s">
        <v>38</v>
      </c>
      <c r="AK48" s="53" t="s">
        <v>41</v>
      </c>
      <c r="AL48" s="53" t="s">
        <v>41</v>
      </c>
      <c r="AM48" s="53" t="s">
        <v>38</v>
      </c>
      <c r="AN48" s="53" t="s">
        <v>41</v>
      </c>
      <c r="AP48" s="53" t="s">
        <v>38</v>
      </c>
      <c r="AR48" s="58">
        <v>1</v>
      </c>
      <c r="AS48" s="58">
        <v>1</v>
      </c>
    </row>
    <row r="49" spans="1:45" x14ac:dyDescent="0.3">
      <c r="A49" s="53" t="s">
        <v>212</v>
      </c>
      <c r="B49" s="58" t="s">
        <v>36</v>
      </c>
      <c r="C49" s="58">
        <v>37</v>
      </c>
      <c r="D49" s="61">
        <v>44607</v>
      </c>
      <c r="F49" s="58" t="s">
        <v>39</v>
      </c>
      <c r="G49" s="58">
        <v>37</v>
      </c>
      <c r="H49" s="58" t="s">
        <v>38</v>
      </c>
      <c r="I49" s="58" t="s">
        <v>43</v>
      </c>
      <c r="J49" s="58" t="s">
        <v>38</v>
      </c>
      <c r="K49" s="58" t="s">
        <v>43</v>
      </c>
      <c r="L49" s="58" t="s">
        <v>38</v>
      </c>
      <c r="M49" s="58" t="s">
        <v>65</v>
      </c>
      <c r="N49" s="58" t="s">
        <v>38</v>
      </c>
      <c r="O49" s="58" t="s">
        <v>43</v>
      </c>
      <c r="P49" s="58" t="s">
        <v>38</v>
      </c>
      <c r="Q49" s="58" t="s">
        <v>65</v>
      </c>
      <c r="R49" s="58" t="s">
        <v>38</v>
      </c>
      <c r="S49" s="58" t="s">
        <v>43</v>
      </c>
      <c r="T49" s="58" t="s">
        <v>41</v>
      </c>
      <c r="U49" s="58"/>
      <c r="V49" s="58" t="s">
        <v>38</v>
      </c>
      <c r="W49" s="58" t="s">
        <v>65</v>
      </c>
      <c r="AD49" s="58" t="s">
        <v>99</v>
      </c>
      <c r="AE49" s="58" t="s">
        <v>214</v>
      </c>
      <c r="AF49" s="58" t="s">
        <v>69</v>
      </c>
      <c r="AG49" s="58" t="e">
        <v>#VALUE!</v>
      </c>
      <c r="AH49" s="58" t="e">
        <v>#VALUE!</v>
      </c>
      <c r="AI49" s="58" t="s">
        <v>37</v>
      </c>
      <c r="AJ49" s="53" t="s">
        <v>38</v>
      </c>
      <c r="AK49" s="53" t="s">
        <v>41</v>
      </c>
      <c r="AL49" s="53" t="s">
        <v>38</v>
      </c>
      <c r="AM49" s="53" t="s">
        <v>41</v>
      </c>
      <c r="AN49" s="53" t="s">
        <v>41</v>
      </c>
      <c r="AP49" s="53" t="s">
        <v>38</v>
      </c>
      <c r="AR49" s="58">
        <v>3</v>
      </c>
      <c r="AS49" s="58">
        <v>1</v>
      </c>
    </row>
    <row r="50" spans="1:45" x14ac:dyDescent="0.3">
      <c r="A50" s="53" t="s">
        <v>215</v>
      </c>
      <c r="B50" s="58" t="s">
        <v>87</v>
      </c>
      <c r="C50" s="58">
        <v>20</v>
      </c>
      <c r="D50" s="65">
        <v>44623</v>
      </c>
      <c r="F50" s="58" t="s">
        <v>39</v>
      </c>
      <c r="G50" s="58">
        <v>36.299999999999997</v>
      </c>
      <c r="H50" s="58" t="s">
        <v>38</v>
      </c>
      <c r="I50" s="58" t="s">
        <v>193</v>
      </c>
      <c r="J50" s="58" t="s">
        <v>38</v>
      </c>
      <c r="K50" s="58" t="s">
        <v>65</v>
      </c>
      <c r="L50" s="58" t="s">
        <v>38</v>
      </c>
      <c r="M50" s="58" t="s">
        <v>146</v>
      </c>
      <c r="N50" s="58" t="s">
        <v>38</v>
      </c>
      <c r="O50" s="58" t="s">
        <v>193</v>
      </c>
      <c r="P50" s="58" t="s">
        <v>38</v>
      </c>
      <c r="Q50" s="58" t="s">
        <v>65</v>
      </c>
      <c r="R50" s="58" t="s">
        <v>38</v>
      </c>
      <c r="S50" s="58" t="s">
        <v>65</v>
      </c>
      <c r="T50" s="58" t="s">
        <v>41</v>
      </c>
      <c r="U50" s="58"/>
      <c r="V50" s="58" t="s">
        <v>41</v>
      </c>
      <c r="W50" s="58"/>
      <c r="AD50" s="58" t="s">
        <v>99</v>
      </c>
      <c r="AE50" s="58" t="s">
        <v>220</v>
      </c>
      <c r="AF50" s="58" t="s">
        <v>69</v>
      </c>
      <c r="AG50" s="58" t="e">
        <v>#VALUE!</v>
      </c>
      <c r="AH50" s="58" t="e">
        <v>#VALUE!</v>
      </c>
      <c r="AI50" s="58" t="s">
        <v>68</v>
      </c>
      <c r="AJ50" s="53" t="s">
        <v>41</v>
      </c>
      <c r="AK50" s="53" t="s">
        <v>41</v>
      </c>
      <c r="AL50" s="53" t="s">
        <v>41</v>
      </c>
      <c r="AM50" s="53" t="s">
        <v>41</v>
      </c>
      <c r="AN50" s="53" t="s">
        <v>41</v>
      </c>
      <c r="AP50" s="53" t="s">
        <v>41</v>
      </c>
      <c r="AR50" s="58">
        <v>4</v>
      </c>
      <c r="AS50" s="58">
        <v>1</v>
      </c>
    </row>
    <row r="51" spans="1:45" x14ac:dyDescent="0.3">
      <c r="A51" s="53" t="s">
        <v>217</v>
      </c>
      <c r="B51" s="58" t="s">
        <v>87</v>
      </c>
      <c r="C51" s="58">
        <v>21</v>
      </c>
      <c r="D51" s="64">
        <v>44623</v>
      </c>
      <c r="F51" s="58" t="s">
        <v>39</v>
      </c>
      <c r="G51" s="58">
        <v>37</v>
      </c>
      <c r="H51" s="58" t="s">
        <v>38</v>
      </c>
      <c r="I51" s="58" t="s">
        <v>55</v>
      </c>
      <c r="J51" s="58" t="s">
        <v>38</v>
      </c>
      <c r="K51" s="58" t="s">
        <v>55</v>
      </c>
      <c r="L51" s="58" t="s">
        <v>104</v>
      </c>
      <c r="M51" s="58" t="s">
        <v>55</v>
      </c>
      <c r="N51" s="58" t="s">
        <v>38</v>
      </c>
      <c r="O51" s="58" t="s">
        <v>55</v>
      </c>
      <c r="P51" s="58" t="s">
        <v>38</v>
      </c>
      <c r="Q51" s="58" t="s">
        <v>55</v>
      </c>
      <c r="R51" s="58" t="s">
        <v>38</v>
      </c>
      <c r="S51" s="58" t="s">
        <v>132</v>
      </c>
      <c r="T51" s="58" t="s">
        <v>41</v>
      </c>
      <c r="U51" s="58"/>
      <c r="V51" s="58" t="s">
        <v>41</v>
      </c>
      <c r="W51" s="58"/>
      <c r="AD51" s="58" t="s">
        <v>41</v>
      </c>
      <c r="AE51" s="58"/>
      <c r="AF51" s="58" t="s">
        <v>69</v>
      </c>
      <c r="AG51" s="58" t="e">
        <v>#VALUE!</v>
      </c>
      <c r="AH51" s="58" t="e">
        <v>#VALUE!</v>
      </c>
      <c r="AI51" s="58" t="s">
        <v>68</v>
      </c>
      <c r="AJ51" s="53" t="s">
        <v>41</v>
      </c>
      <c r="AK51" s="53" t="s">
        <v>41</v>
      </c>
      <c r="AL51" s="53" t="s">
        <v>41</v>
      </c>
      <c r="AM51" s="53" t="s">
        <v>41</v>
      </c>
      <c r="AN51" s="53" t="s">
        <v>41</v>
      </c>
      <c r="AP51" s="53" t="s">
        <v>41</v>
      </c>
      <c r="AR51" s="58">
        <v>2</v>
      </c>
      <c r="AS51" s="58">
        <v>2</v>
      </c>
    </row>
    <row r="52" spans="1:45" x14ac:dyDescent="0.3">
      <c r="A52" s="53" t="s">
        <v>874</v>
      </c>
      <c r="B52" s="58" t="s">
        <v>36</v>
      </c>
      <c r="C52" s="58">
        <v>29</v>
      </c>
      <c r="D52" s="65">
        <v>44642</v>
      </c>
      <c r="F52" s="58" t="s">
        <v>39</v>
      </c>
      <c r="G52" s="58">
        <v>36</v>
      </c>
      <c r="H52" s="58" t="s">
        <v>38</v>
      </c>
      <c r="I52" s="58" t="s">
        <v>65</v>
      </c>
      <c r="J52" s="58" t="s">
        <v>38</v>
      </c>
      <c r="K52" s="58" t="s">
        <v>65</v>
      </c>
      <c r="L52" s="58" t="s">
        <v>41</v>
      </c>
      <c r="M52" s="58"/>
      <c r="N52" s="58" t="s">
        <v>38</v>
      </c>
      <c r="O52" s="58" t="s">
        <v>65</v>
      </c>
      <c r="P52" s="58" t="s">
        <v>41</v>
      </c>
      <c r="Q52" s="58"/>
      <c r="R52" s="58" t="s">
        <v>38</v>
      </c>
      <c r="S52" s="58" t="s">
        <v>65</v>
      </c>
      <c r="T52" s="58" t="s">
        <v>38</v>
      </c>
      <c r="U52" s="58" t="s">
        <v>43</v>
      </c>
      <c r="V52" s="58" t="s">
        <v>222</v>
      </c>
      <c r="W52" s="58"/>
      <c r="AD52" s="58"/>
      <c r="AE52" s="58" t="s">
        <v>226</v>
      </c>
      <c r="AF52" s="58">
        <v>54</v>
      </c>
      <c r="AG52" s="58">
        <v>0</v>
      </c>
      <c r="AH52" s="58" t="e">
        <v>#DIV/0!</v>
      </c>
      <c r="AI52" s="58" t="s">
        <v>68</v>
      </c>
      <c r="AR52" s="58"/>
      <c r="AS52" s="58"/>
    </row>
    <row r="53" spans="1:45" x14ac:dyDescent="0.3">
      <c r="A53" s="53" t="s">
        <v>223</v>
      </c>
      <c r="B53" s="58" t="s">
        <v>87</v>
      </c>
      <c r="C53" s="58">
        <v>37</v>
      </c>
      <c r="D53" s="64">
        <v>44807</v>
      </c>
      <c r="F53" s="58" t="s">
        <v>39</v>
      </c>
      <c r="G53" s="58">
        <v>37</v>
      </c>
      <c r="H53" s="58" t="s">
        <v>38</v>
      </c>
      <c r="I53" s="58" t="s">
        <v>82</v>
      </c>
      <c r="J53" s="58" t="s">
        <v>41</v>
      </c>
      <c r="K53" s="58"/>
      <c r="L53" s="58" t="s">
        <v>41</v>
      </c>
      <c r="M53" s="58"/>
      <c r="N53" s="58" t="s">
        <v>41</v>
      </c>
      <c r="O53" s="58"/>
      <c r="P53" s="58" t="s">
        <v>38</v>
      </c>
      <c r="Q53" s="58" t="s">
        <v>43</v>
      </c>
      <c r="R53" s="58" t="s">
        <v>38</v>
      </c>
      <c r="S53" s="58" t="s">
        <v>43</v>
      </c>
      <c r="T53" s="58" t="s">
        <v>41</v>
      </c>
      <c r="U53" s="58"/>
      <c r="V53" s="58" t="s">
        <v>41</v>
      </c>
      <c r="W53" s="58"/>
      <c r="AD53" s="58" t="s">
        <v>72</v>
      </c>
      <c r="AE53" s="58"/>
      <c r="AF53" s="58">
        <v>63</v>
      </c>
      <c r="AG53" s="58" t="e">
        <v>#VALUE!</v>
      </c>
      <c r="AH53" s="58" t="e">
        <v>#VALUE!</v>
      </c>
      <c r="AI53" s="58" t="s">
        <v>37</v>
      </c>
      <c r="AJ53" s="53" t="s">
        <v>41</v>
      </c>
      <c r="AK53" s="53" t="s">
        <v>41</v>
      </c>
      <c r="AL53" s="53" t="s">
        <v>41</v>
      </c>
      <c r="AM53" s="53" t="s">
        <v>41</v>
      </c>
      <c r="AN53" s="53" t="s">
        <v>41</v>
      </c>
      <c r="AP53" s="53" t="s">
        <v>41</v>
      </c>
      <c r="AR53" s="58">
        <v>5</v>
      </c>
      <c r="AS53" s="58">
        <v>1</v>
      </c>
    </row>
    <row r="54" spans="1:45" x14ac:dyDescent="0.3">
      <c r="A54" s="53" t="s">
        <v>878</v>
      </c>
      <c r="B54" s="58" t="s">
        <v>87</v>
      </c>
      <c r="C54" s="58">
        <v>37</v>
      </c>
      <c r="D54" s="65">
        <v>44711</v>
      </c>
      <c r="F54" s="58" t="s">
        <v>39</v>
      </c>
      <c r="G54" s="58">
        <v>37</v>
      </c>
      <c r="H54" s="58" t="s">
        <v>41</v>
      </c>
      <c r="I54" s="58"/>
      <c r="J54" s="58" t="s">
        <v>41</v>
      </c>
      <c r="K54" s="58"/>
      <c r="L54" s="58" t="s">
        <v>41</v>
      </c>
      <c r="M54" s="58"/>
      <c r="N54" s="58" t="s">
        <v>41</v>
      </c>
      <c r="O54" s="58"/>
      <c r="P54" s="58" t="s">
        <v>41</v>
      </c>
      <c r="Q54" s="58"/>
      <c r="R54" s="58" t="s">
        <v>38</v>
      </c>
      <c r="S54" s="58" t="s">
        <v>228</v>
      </c>
      <c r="T54" s="58" t="s">
        <v>41</v>
      </c>
      <c r="U54" s="58"/>
      <c r="V54" s="58"/>
      <c r="W54" s="58"/>
      <c r="AD54" s="58"/>
      <c r="AE54" s="58" t="s">
        <v>115</v>
      </c>
      <c r="AF54" s="58">
        <v>65</v>
      </c>
      <c r="AG54" s="58">
        <v>0</v>
      </c>
      <c r="AH54" s="58" t="e">
        <v>#DIV/0!</v>
      </c>
      <c r="AI54" s="58" t="s">
        <v>37</v>
      </c>
      <c r="AR54" s="58"/>
      <c r="AS54" s="58"/>
    </row>
    <row r="55" spans="1:45" x14ac:dyDescent="0.3">
      <c r="A55" s="53" t="s">
        <v>229</v>
      </c>
      <c r="B55" s="58" t="s">
        <v>36</v>
      </c>
      <c r="C55" s="58">
        <v>21</v>
      </c>
      <c r="D55" s="64">
        <v>44807</v>
      </c>
      <c r="F55" s="58" t="s">
        <v>39</v>
      </c>
      <c r="G55" s="58">
        <v>36</v>
      </c>
      <c r="H55" s="58" t="s">
        <v>41</v>
      </c>
      <c r="I55" s="58"/>
      <c r="J55" s="58" t="s">
        <v>41</v>
      </c>
      <c r="K55" s="58"/>
      <c r="L55" s="58" t="s">
        <v>38</v>
      </c>
      <c r="M55" s="58" t="s">
        <v>50</v>
      </c>
      <c r="N55" s="58" t="s">
        <v>38</v>
      </c>
      <c r="O55" s="58" t="s">
        <v>193</v>
      </c>
      <c r="P55" s="58" t="s">
        <v>38</v>
      </c>
      <c r="Q55" s="58" t="s">
        <v>55</v>
      </c>
      <c r="R55" s="58" t="s">
        <v>38</v>
      </c>
      <c r="S55" s="58" t="s">
        <v>55</v>
      </c>
      <c r="T55" s="58" t="s">
        <v>41</v>
      </c>
      <c r="U55" s="58"/>
      <c r="V55" s="58" t="s">
        <v>41</v>
      </c>
      <c r="W55" s="58"/>
      <c r="AD55" s="58" t="s">
        <v>72</v>
      </c>
      <c r="AE55" s="58"/>
      <c r="AF55" s="58">
        <v>53</v>
      </c>
      <c r="AG55" s="58">
        <v>0</v>
      </c>
      <c r="AH55" s="58" t="e">
        <v>#DIV/0!</v>
      </c>
      <c r="AI55" s="58" t="s">
        <v>68</v>
      </c>
      <c r="AJ55" s="53" t="s">
        <v>41</v>
      </c>
      <c r="AK55" s="53" t="s">
        <v>41</v>
      </c>
      <c r="AL55" s="53" t="s">
        <v>41</v>
      </c>
      <c r="AM55" s="53" t="s">
        <v>41</v>
      </c>
      <c r="AN55" s="53" t="s">
        <v>41</v>
      </c>
      <c r="AP55" s="53" t="s">
        <v>41</v>
      </c>
      <c r="AR55" s="58">
        <v>3</v>
      </c>
      <c r="AS55" s="58">
        <v>3</v>
      </c>
    </row>
    <row r="56" spans="1:45" x14ac:dyDescent="0.3">
      <c r="A56" s="53" t="s">
        <v>879</v>
      </c>
      <c r="B56" s="58" t="s">
        <v>188</v>
      </c>
      <c r="C56" s="58" t="s">
        <v>188</v>
      </c>
      <c r="D56" s="65">
        <v>44697</v>
      </c>
      <c r="F56" s="58" t="s">
        <v>39</v>
      </c>
      <c r="G56" s="58">
        <v>37</v>
      </c>
      <c r="H56" s="58" t="s">
        <v>41</v>
      </c>
      <c r="I56" s="58"/>
      <c r="J56" s="58" t="s">
        <v>40</v>
      </c>
      <c r="K56" s="58" t="s">
        <v>43</v>
      </c>
      <c r="L56" s="58" t="s">
        <v>41</v>
      </c>
      <c r="M56" s="58"/>
      <c r="N56" s="58" t="s">
        <v>196</v>
      </c>
      <c r="O56" s="58"/>
      <c r="P56" s="58" t="s">
        <v>40</v>
      </c>
      <c r="Q56" s="58" t="s">
        <v>65</v>
      </c>
      <c r="R56" s="58" t="s">
        <v>40</v>
      </c>
      <c r="S56" s="58" t="s">
        <v>65</v>
      </c>
      <c r="T56" s="58" t="s">
        <v>196</v>
      </c>
      <c r="U56" s="58"/>
      <c r="V56" s="58" t="s">
        <v>196</v>
      </c>
      <c r="W56" s="58"/>
      <c r="AD56" s="58"/>
      <c r="AE56" s="58" t="s">
        <v>235</v>
      </c>
      <c r="AF56" s="58" t="s">
        <v>69</v>
      </c>
      <c r="AG56" s="58">
        <v>0</v>
      </c>
      <c r="AH56" s="58" t="e">
        <v>#VALUE!</v>
      </c>
      <c r="AI56" s="58" t="s">
        <v>188</v>
      </c>
      <c r="AR56" s="58"/>
      <c r="AS56" s="58"/>
    </row>
    <row r="57" spans="1:45" x14ac:dyDescent="0.3">
      <c r="A57" s="53" t="s">
        <v>234</v>
      </c>
      <c r="B57" s="58" t="s">
        <v>36</v>
      </c>
      <c r="C57" s="58">
        <v>30</v>
      </c>
      <c r="D57" s="64">
        <v>44837</v>
      </c>
      <c r="F57" s="58" t="s">
        <v>39</v>
      </c>
      <c r="G57" s="58">
        <v>37</v>
      </c>
      <c r="H57" s="58" t="s">
        <v>38</v>
      </c>
      <c r="I57" s="58" t="s">
        <v>43</v>
      </c>
      <c r="J57" s="58" t="s">
        <v>41</v>
      </c>
      <c r="K57" s="58"/>
      <c r="L57" s="58" t="s">
        <v>38</v>
      </c>
      <c r="M57" s="58" t="s">
        <v>195</v>
      </c>
      <c r="N57" s="58" t="s">
        <v>41</v>
      </c>
      <c r="O57" s="58"/>
      <c r="P57" s="58" t="s">
        <v>38</v>
      </c>
      <c r="Q57" s="58" t="s">
        <v>43</v>
      </c>
      <c r="R57" s="58" t="s">
        <v>38</v>
      </c>
      <c r="S57" s="58" t="s">
        <v>43</v>
      </c>
      <c r="T57" s="58" t="s">
        <v>38</v>
      </c>
      <c r="U57" s="58"/>
      <c r="V57" s="58" t="s">
        <v>41</v>
      </c>
      <c r="W57" s="58"/>
      <c r="AD57" s="58" t="s">
        <v>45</v>
      </c>
      <c r="AE57" s="58"/>
      <c r="AF57" s="58">
        <v>55</v>
      </c>
      <c r="AG57" s="58">
        <v>1.66</v>
      </c>
      <c r="AH57" s="58">
        <v>19.959355494266223</v>
      </c>
      <c r="AI57" s="58" t="s">
        <v>68</v>
      </c>
      <c r="AJ57" s="53" t="s">
        <v>41</v>
      </c>
      <c r="AK57" s="53" t="s">
        <v>41</v>
      </c>
      <c r="AL57" s="53" t="s">
        <v>41</v>
      </c>
      <c r="AM57" s="53" t="s">
        <v>38</v>
      </c>
      <c r="AN57" s="53" t="s">
        <v>38</v>
      </c>
      <c r="AO57" s="53">
        <v>2021</v>
      </c>
      <c r="AP57" s="53" t="s">
        <v>38</v>
      </c>
      <c r="AQ57" s="53" t="s">
        <v>41</v>
      </c>
      <c r="AR57" s="58">
        <v>1</v>
      </c>
      <c r="AS57" s="58">
        <v>1</v>
      </c>
    </row>
    <row r="58" spans="1:45" x14ac:dyDescent="0.3">
      <c r="A58" s="53" t="s">
        <v>880</v>
      </c>
      <c r="B58" s="58" t="s">
        <v>36</v>
      </c>
      <c r="C58" s="58">
        <v>30</v>
      </c>
      <c r="D58" s="65">
        <v>44697</v>
      </c>
      <c r="F58" s="58" t="s">
        <v>39</v>
      </c>
      <c r="G58" s="58">
        <v>38</v>
      </c>
      <c r="H58" s="58" t="s">
        <v>41</v>
      </c>
      <c r="I58" s="58"/>
      <c r="J58" s="58" t="s">
        <v>41</v>
      </c>
      <c r="K58" s="58"/>
      <c r="L58" s="58" t="s">
        <v>41</v>
      </c>
      <c r="M58" s="58"/>
      <c r="N58" s="58" t="s">
        <v>41</v>
      </c>
      <c r="O58" s="58"/>
      <c r="P58" s="58" t="s">
        <v>41</v>
      </c>
      <c r="Q58" s="58"/>
      <c r="R58" s="58" t="s">
        <v>41</v>
      </c>
      <c r="S58" s="58"/>
      <c r="T58" s="58" t="s">
        <v>41</v>
      </c>
      <c r="U58" s="58"/>
      <c r="V58" s="58" t="s">
        <v>41</v>
      </c>
      <c r="W58" s="58"/>
      <c r="AD58" s="58"/>
      <c r="AE58" s="58" t="s">
        <v>240</v>
      </c>
      <c r="AF58" s="58">
        <v>55</v>
      </c>
      <c r="AG58" s="58" t="e">
        <v>#VALUE!</v>
      </c>
      <c r="AH58" s="58" t="e">
        <v>#VALUE!</v>
      </c>
      <c r="AI58" s="58" t="s">
        <v>68</v>
      </c>
      <c r="AR58" s="58"/>
      <c r="AS58" s="58"/>
    </row>
    <row r="59" spans="1:45" x14ac:dyDescent="0.3">
      <c r="A59" s="53" t="s">
        <v>237</v>
      </c>
      <c r="B59" s="58" t="s">
        <v>36</v>
      </c>
      <c r="C59" s="58">
        <v>32</v>
      </c>
      <c r="D59" s="64">
        <v>44630</v>
      </c>
      <c r="F59" s="58" t="s">
        <v>39</v>
      </c>
      <c r="G59" s="58">
        <v>36.4</v>
      </c>
      <c r="H59" s="58" t="s">
        <v>38</v>
      </c>
      <c r="I59" s="58" t="s">
        <v>193</v>
      </c>
      <c r="J59" s="58" t="s">
        <v>38</v>
      </c>
      <c r="K59" s="58" t="s">
        <v>65</v>
      </c>
      <c r="L59" s="58" t="s">
        <v>38</v>
      </c>
      <c r="M59" s="58" t="s">
        <v>65</v>
      </c>
      <c r="N59" s="58" t="s">
        <v>38</v>
      </c>
      <c r="O59" s="58" t="s">
        <v>193</v>
      </c>
      <c r="P59" s="58" t="s">
        <v>38</v>
      </c>
      <c r="Q59" s="58" t="s">
        <v>146</v>
      </c>
      <c r="R59" s="58" t="s">
        <v>41</v>
      </c>
      <c r="S59" s="58"/>
      <c r="T59" s="58" t="s">
        <v>41</v>
      </c>
      <c r="U59" s="58"/>
      <c r="V59" s="58" t="s">
        <v>41</v>
      </c>
      <c r="W59" s="58"/>
      <c r="AD59" s="58" t="s">
        <v>57</v>
      </c>
      <c r="AE59" s="58" t="s">
        <v>251</v>
      </c>
      <c r="AF59" s="58">
        <v>54</v>
      </c>
      <c r="AG59" s="58" t="e">
        <v>#VALUE!</v>
      </c>
      <c r="AH59" s="58" t="e">
        <v>#VALUE!</v>
      </c>
      <c r="AI59" s="58" t="s">
        <v>37</v>
      </c>
      <c r="AJ59" s="53" t="s">
        <v>41</v>
      </c>
      <c r="AK59" s="53" t="s">
        <v>41</v>
      </c>
      <c r="AL59" s="53" t="s">
        <v>38</v>
      </c>
      <c r="AM59" s="53" t="s">
        <v>38</v>
      </c>
      <c r="AN59" s="53" t="s">
        <v>38</v>
      </c>
      <c r="AO59" s="53" t="s">
        <v>69</v>
      </c>
      <c r="AP59" s="53" t="s">
        <v>239</v>
      </c>
      <c r="AQ59" s="53" t="s">
        <v>38</v>
      </c>
      <c r="AR59" s="58">
        <v>3</v>
      </c>
      <c r="AS59" s="58">
        <v>1</v>
      </c>
    </row>
    <row r="60" spans="1:45" x14ac:dyDescent="0.3">
      <c r="A60" s="53" t="s">
        <v>241</v>
      </c>
      <c r="B60" s="58" t="s">
        <v>36</v>
      </c>
      <c r="C60" s="58">
        <v>39</v>
      </c>
      <c r="D60" s="64">
        <v>44631</v>
      </c>
      <c r="F60" s="58" t="s">
        <v>39</v>
      </c>
      <c r="G60" s="58">
        <v>37</v>
      </c>
      <c r="H60" s="58" t="s">
        <v>38</v>
      </c>
      <c r="I60" s="58" t="s">
        <v>244</v>
      </c>
      <c r="J60" s="58" t="s">
        <v>38</v>
      </c>
      <c r="K60" s="58" t="s">
        <v>150</v>
      </c>
      <c r="L60" s="58" t="s">
        <v>38</v>
      </c>
      <c r="M60" s="58" t="s">
        <v>103</v>
      </c>
      <c r="N60" s="58" t="s">
        <v>38</v>
      </c>
      <c r="O60" s="58" t="s">
        <v>245</v>
      </c>
      <c r="P60" s="58" t="s">
        <v>69</v>
      </c>
      <c r="Q60" s="58"/>
      <c r="R60" s="58" t="s">
        <v>38</v>
      </c>
      <c r="S60" s="58" t="s">
        <v>246</v>
      </c>
      <c r="T60" s="58" t="s">
        <v>41</v>
      </c>
      <c r="U60" s="58"/>
      <c r="V60" s="58" t="s">
        <v>247</v>
      </c>
      <c r="W60" s="58" t="s">
        <v>248</v>
      </c>
      <c r="AD60" s="58" t="s">
        <v>57</v>
      </c>
      <c r="AE60" s="58"/>
      <c r="AF60" s="58" t="s">
        <v>69</v>
      </c>
      <c r="AG60" s="58" t="e">
        <v>#VALUE!</v>
      </c>
      <c r="AH60" s="58" t="e">
        <v>#VALUE!</v>
      </c>
      <c r="AI60" s="58" t="s">
        <v>68</v>
      </c>
      <c r="AJ60" s="53" t="s">
        <v>41</v>
      </c>
      <c r="AK60" s="53" t="s">
        <v>38</v>
      </c>
      <c r="AL60" s="53" t="s">
        <v>38</v>
      </c>
      <c r="AM60" s="53" t="s">
        <v>38</v>
      </c>
      <c r="AN60" s="53" t="s">
        <v>249</v>
      </c>
      <c r="AO60" s="53" t="s">
        <v>250</v>
      </c>
      <c r="AP60" s="53" t="s">
        <v>239</v>
      </c>
      <c r="AQ60" s="53" t="s">
        <v>38</v>
      </c>
      <c r="AR60" s="58">
        <v>1</v>
      </c>
      <c r="AS60" s="58">
        <v>1</v>
      </c>
    </row>
    <row r="61" spans="1:45" x14ac:dyDescent="0.3">
      <c r="A61" s="53" t="s">
        <v>881</v>
      </c>
      <c r="B61" s="58" t="s">
        <v>188</v>
      </c>
      <c r="C61" s="58" t="s">
        <v>188</v>
      </c>
      <c r="D61" s="65">
        <v>44697</v>
      </c>
      <c r="F61" s="58" t="s">
        <v>39</v>
      </c>
      <c r="G61" s="58" t="s">
        <v>69</v>
      </c>
      <c r="H61" s="58" t="s">
        <v>38</v>
      </c>
      <c r="I61" s="58" t="s">
        <v>53</v>
      </c>
      <c r="J61" s="58" t="s">
        <v>41</v>
      </c>
      <c r="K61" s="58"/>
      <c r="L61" s="58" t="s">
        <v>41</v>
      </c>
      <c r="M61" s="58"/>
      <c r="N61" s="58" t="s">
        <v>38</v>
      </c>
      <c r="O61" s="58" t="s">
        <v>193</v>
      </c>
      <c r="P61" s="58" t="s">
        <v>41</v>
      </c>
      <c r="Q61" s="58"/>
      <c r="R61" s="58" t="s">
        <v>38</v>
      </c>
      <c r="S61" s="58" t="s">
        <v>43</v>
      </c>
      <c r="T61" s="58" t="s">
        <v>41</v>
      </c>
      <c r="U61" s="58"/>
      <c r="V61" s="58" t="s">
        <v>41</v>
      </c>
      <c r="W61" s="58"/>
      <c r="AD61" s="58"/>
      <c r="AE61" s="58"/>
      <c r="AF61" s="58" t="s">
        <v>69</v>
      </c>
      <c r="AG61" s="58" t="e">
        <v>#VALUE!</v>
      </c>
      <c r="AH61" s="58" t="e">
        <v>#VALUE!</v>
      </c>
      <c r="AI61" s="58" t="s">
        <v>68</v>
      </c>
      <c r="AR61" s="58"/>
      <c r="AS61" s="58"/>
    </row>
    <row r="62" spans="1:45" x14ac:dyDescent="0.3">
      <c r="A62" s="53" t="s">
        <v>254</v>
      </c>
      <c r="B62" s="58" t="s">
        <v>36</v>
      </c>
      <c r="C62" s="58">
        <v>54</v>
      </c>
      <c r="D62" s="65">
        <v>44634</v>
      </c>
      <c r="F62" s="58" t="s">
        <v>39</v>
      </c>
      <c r="G62" s="58" t="s">
        <v>69</v>
      </c>
      <c r="H62" s="58" t="s">
        <v>38</v>
      </c>
      <c r="I62" s="58" t="s">
        <v>50</v>
      </c>
      <c r="J62" s="58" t="s">
        <v>41</v>
      </c>
      <c r="K62" s="58"/>
      <c r="L62" s="58" t="s">
        <v>38</v>
      </c>
      <c r="M62" s="58" t="s">
        <v>256</v>
      </c>
      <c r="N62" s="58" t="s">
        <v>38</v>
      </c>
      <c r="O62" s="58" t="s">
        <v>257</v>
      </c>
      <c r="P62" s="58" t="s">
        <v>41</v>
      </c>
      <c r="Q62" s="58"/>
      <c r="R62" s="58" t="s">
        <v>41</v>
      </c>
      <c r="S62" s="58"/>
      <c r="T62" s="58" t="s">
        <v>38</v>
      </c>
      <c r="U62" s="58" t="s">
        <v>258</v>
      </c>
      <c r="V62" s="58" t="s">
        <v>41</v>
      </c>
      <c r="W62" s="58"/>
      <c r="AD62" s="58" t="s">
        <v>57</v>
      </c>
      <c r="AE62" s="58" t="s">
        <v>264</v>
      </c>
      <c r="AF62" s="58">
        <v>48</v>
      </c>
      <c r="AG62" s="58">
        <v>1.66</v>
      </c>
      <c r="AH62" s="58">
        <v>17.419073885905068</v>
      </c>
      <c r="AI62" s="58" t="s">
        <v>68</v>
      </c>
      <c r="AJ62" s="53" t="s">
        <v>41</v>
      </c>
      <c r="AK62" s="53" t="s">
        <v>41</v>
      </c>
      <c r="AL62" s="53" t="s">
        <v>41</v>
      </c>
      <c r="AM62" s="53" t="s">
        <v>38</v>
      </c>
      <c r="AN62" s="53" t="s">
        <v>38</v>
      </c>
      <c r="AO62" s="53" t="s">
        <v>69</v>
      </c>
      <c r="AP62" s="53" t="s">
        <v>259</v>
      </c>
      <c r="AQ62" s="53" t="s">
        <v>41</v>
      </c>
      <c r="AR62" s="58">
        <v>9</v>
      </c>
      <c r="AS62" s="58">
        <v>6</v>
      </c>
    </row>
    <row r="63" spans="1:45" x14ac:dyDescent="0.3">
      <c r="A63" s="53" t="s">
        <v>260</v>
      </c>
      <c r="B63" s="58" t="s">
        <v>36</v>
      </c>
      <c r="C63" s="58">
        <v>34</v>
      </c>
      <c r="D63" s="65">
        <v>44634</v>
      </c>
      <c r="F63" s="58" t="s">
        <v>39</v>
      </c>
      <c r="G63" s="58" t="s">
        <v>69</v>
      </c>
      <c r="H63" s="58" t="s">
        <v>38</v>
      </c>
      <c r="I63" s="58" t="s">
        <v>263</v>
      </c>
      <c r="J63" s="58" t="s">
        <v>38</v>
      </c>
      <c r="K63" s="58" t="s">
        <v>53</v>
      </c>
      <c r="L63" s="58" t="s">
        <v>38</v>
      </c>
      <c r="M63" s="58" t="s">
        <v>53</v>
      </c>
      <c r="N63" s="58" t="s">
        <v>38</v>
      </c>
      <c r="O63" s="58" t="s">
        <v>53</v>
      </c>
      <c r="P63" s="58" t="s">
        <v>41</v>
      </c>
      <c r="Q63" s="58"/>
      <c r="R63" s="58" t="s">
        <v>41</v>
      </c>
      <c r="S63" s="58"/>
      <c r="T63" s="58" t="s">
        <v>41</v>
      </c>
      <c r="U63" s="58"/>
      <c r="V63" s="58" t="s">
        <v>41</v>
      </c>
      <c r="W63" s="58"/>
      <c r="AD63" s="58" t="s">
        <v>61</v>
      </c>
      <c r="AE63" s="58" t="s">
        <v>268</v>
      </c>
      <c r="AF63" s="58">
        <v>67</v>
      </c>
      <c r="AG63" s="58">
        <v>1.66</v>
      </c>
      <c r="AH63" s="58">
        <v>24.314123965742489</v>
      </c>
      <c r="AI63" s="58" t="s">
        <v>37</v>
      </c>
      <c r="AJ63" s="53" t="s">
        <v>41</v>
      </c>
      <c r="AK63" s="53" t="s">
        <v>41</v>
      </c>
      <c r="AL63" s="53" t="s">
        <v>41</v>
      </c>
      <c r="AM63" s="53" t="s">
        <v>41</v>
      </c>
      <c r="AN63" s="53" t="s">
        <v>41</v>
      </c>
      <c r="AQ63" s="53" t="s">
        <v>41</v>
      </c>
      <c r="AR63" s="58">
        <v>1</v>
      </c>
      <c r="AS63" s="58">
        <v>1</v>
      </c>
    </row>
    <row r="64" spans="1:45" x14ac:dyDescent="0.3">
      <c r="A64" s="53" t="s">
        <v>265</v>
      </c>
      <c r="B64" s="58" t="s">
        <v>36</v>
      </c>
      <c r="C64" s="58">
        <v>27</v>
      </c>
      <c r="D64" s="65">
        <v>44634</v>
      </c>
      <c r="F64" s="58" t="s">
        <v>39</v>
      </c>
      <c r="G64" s="58">
        <v>37</v>
      </c>
      <c r="H64" s="58" t="s">
        <v>38</v>
      </c>
      <c r="I64" s="58" t="s">
        <v>55</v>
      </c>
      <c r="J64" s="58" t="s">
        <v>38</v>
      </c>
      <c r="K64" s="58" t="s">
        <v>157</v>
      </c>
      <c r="L64" s="58" t="s">
        <v>38</v>
      </c>
      <c r="M64" s="58" t="s">
        <v>157</v>
      </c>
      <c r="N64" s="58" t="s">
        <v>41</v>
      </c>
      <c r="O64" s="58"/>
      <c r="P64" s="58" t="s">
        <v>38</v>
      </c>
      <c r="Q64" s="58" t="s">
        <v>157</v>
      </c>
      <c r="R64" s="58" t="s">
        <v>38</v>
      </c>
      <c r="S64" s="58" t="s">
        <v>132</v>
      </c>
      <c r="T64" s="58" t="s">
        <v>41</v>
      </c>
      <c r="U64" s="58"/>
      <c r="V64" s="58" t="s">
        <v>41</v>
      </c>
      <c r="W64" s="58"/>
      <c r="AD64" s="58" t="s">
        <v>172</v>
      </c>
      <c r="AE64" s="58" t="s">
        <v>226</v>
      </c>
      <c r="AF64" s="58">
        <v>64</v>
      </c>
      <c r="AG64" s="58">
        <v>1.68</v>
      </c>
      <c r="AH64" s="58">
        <v>22.67573696145125</v>
      </c>
      <c r="AI64" s="58" t="s">
        <v>68</v>
      </c>
      <c r="AJ64" s="53" t="s">
        <v>41</v>
      </c>
      <c r="AK64" s="53" t="s">
        <v>41</v>
      </c>
      <c r="AL64" s="53" t="s">
        <v>38</v>
      </c>
      <c r="AM64" s="53" t="s">
        <v>38</v>
      </c>
      <c r="AN64" s="53" t="s">
        <v>41</v>
      </c>
      <c r="AQ64" s="53" t="s">
        <v>41</v>
      </c>
      <c r="AR64" s="58">
        <v>1</v>
      </c>
      <c r="AS64" s="58">
        <v>1</v>
      </c>
    </row>
    <row r="65" spans="1:45" x14ac:dyDescent="0.3">
      <c r="A65" s="53" t="s">
        <v>269</v>
      </c>
      <c r="B65" s="58" t="s">
        <v>36</v>
      </c>
      <c r="C65" s="58">
        <v>27</v>
      </c>
      <c r="D65" s="65">
        <v>44635</v>
      </c>
      <c r="F65" s="58" t="s">
        <v>39</v>
      </c>
      <c r="G65" s="58">
        <v>36</v>
      </c>
      <c r="H65" s="58" t="s">
        <v>41</v>
      </c>
      <c r="I65" s="58"/>
      <c r="J65" s="58" t="s">
        <v>41</v>
      </c>
      <c r="K65" s="58"/>
      <c r="L65" s="58" t="s">
        <v>38</v>
      </c>
      <c r="M65" s="58" t="s">
        <v>165</v>
      </c>
      <c r="N65" s="58" t="s">
        <v>41</v>
      </c>
      <c r="O65" s="58"/>
      <c r="P65" s="58" t="s">
        <v>38</v>
      </c>
      <c r="Q65" s="58" t="s">
        <v>165</v>
      </c>
      <c r="R65" s="58" t="s">
        <v>38</v>
      </c>
      <c r="S65" s="58" t="s">
        <v>165</v>
      </c>
      <c r="T65" s="58" t="s">
        <v>41</v>
      </c>
      <c r="U65" s="58"/>
      <c r="V65" s="58" t="s">
        <v>41</v>
      </c>
      <c r="W65" s="58"/>
      <c r="AD65" s="58" t="s">
        <v>61</v>
      </c>
      <c r="AE65" s="58" t="s">
        <v>214</v>
      </c>
      <c r="AF65" s="58">
        <v>76</v>
      </c>
      <c r="AG65" s="58">
        <v>1.38</v>
      </c>
      <c r="AH65" s="58">
        <v>39.907582440663731</v>
      </c>
      <c r="AI65" s="58" t="s">
        <v>68</v>
      </c>
      <c r="AJ65" s="53" t="s">
        <v>41</v>
      </c>
      <c r="AK65" s="53" t="s">
        <v>41</v>
      </c>
      <c r="AL65" s="53" t="s">
        <v>38</v>
      </c>
      <c r="AM65" s="53" t="s">
        <v>38</v>
      </c>
      <c r="AN65" s="53" t="s">
        <v>41</v>
      </c>
      <c r="AQ65" s="53" t="s">
        <v>41</v>
      </c>
      <c r="AR65" s="58">
        <v>1</v>
      </c>
      <c r="AS65" s="58">
        <v>2</v>
      </c>
    </row>
    <row r="66" spans="1:45" x14ac:dyDescent="0.3">
      <c r="A66" s="53" t="s">
        <v>271</v>
      </c>
      <c r="B66" s="58" t="s">
        <v>36</v>
      </c>
      <c r="C66" s="58">
        <v>37</v>
      </c>
      <c r="D66" s="65">
        <v>44635</v>
      </c>
      <c r="F66" s="58" t="s">
        <v>39</v>
      </c>
      <c r="G66" s="58">
        <v>37</v>
      </c>
      <c r="H66" s="58" t="s">
        <v>38</v>
      </c>
      <c r="I66" s="58" t="s">
        <v>43</v>
      </c>
      <c r="J66" s="58" t="s">
        <v>41</v>
      </c>
      <c r="K66" s="58"/>
      <c r="L66" s="58" t="s">
        <v>38</v>
      </c>
      <c r="M66" s="58" t="s">
        <v>195</v>
      </c>
      <c r="N66" s="58" t="s">
        <v>38</v>
      </c>
      <c r="O66" s="58" t="s">
        <v>43</v>
      </c>
      <c r="P66" s="58" t="s">
        <v>41</v>
      </c>
      <c r="Q66" s="58"/>
      <c r="R66" s="58" t="s">
        <v>41</v>
      </c>
      <c r="S66" s="58"/>
      <c r="T66" s="58" t="s">
        <v>41</v>
      </c>
      <c r="U66" s="58"/>
      <c r="V66" s="58" t="s">
        <v>41</v>
      </c>
      <c r="W66" s="58"/>
      <c r="AD66" s="58" t="s">
        <v>57</v>
      </c>
      <c r="AE66" s="58" t="s">
        <v>275</v>
      </c>
      <c r="AF66" s="58">
        <v>62</v>
      </c>
      <c r="AG66" s="58">
        <v>1.72</v>
      </c>
      <c r="AH66" s="58">
        <v>20.957274202271499</v>
      </c>
      <c r="AI66" s="58" t="s">
        <v>68</v>
      </c>
      <c r="AJ66" s="53" t="s">
        <v>41</v>
      </c>
      <c r="AK66" s="53" t="s">
        <v>41</v>
      </c>
      <c r="AL66" s="53" t="s">
        <v>38</v>
      </c>
      <c r="AM66" s="53" t="s">
        <v>41</v>
      </c>
      <c r="AN66" s="53" t="s">
        <v>38</v>
      </c>
      <c r="AO66" s="53">
        <v>2015</v>
      </c>
      <c r="AP66" s="53" t="s">
        <v>259</v>
      </c>
      <c r="AQ66" s="53" t="s">
        <v>41</v>
      </c>
      <c r="AR66" s="58">
        <v>5</v>
      </c>
      <c r="AS66" s="58">
        <v>1</v>
      </c>
    </row>
    <row r="67" spans="1:45" x14ac:dyDescent="0.3">
      <c r="A67" s="53" t="s">
        <v>273</v>
      </c>
      <c r="B67" s="58" t="s">
        <v>36</v>
      </c>
      <c r="C67" s="58">
        <v>22</v>
      </c>
      <c r="D67" s="65">
        <v>44637</v>
      </c>
      <c r="F67" s="58" t="s">
        <v>39</v>
      </c>
      <c r="G67" s="58" t="s">
        <v>69</v>
      </c>
      <c r="H67" s="58" t="s">
        <v>38</v>
      </c>
      <c r="I67" s="58" t="s">
        <v>64</v>
      </c>
      <c r="J67" s="58" t="s">
        <v>38</v>
      </c>
      <c r="K67" s="58" t="s">
        <v>53</v>
      </c>
      <c r="L67" s="58" t="s">
        <v>38</v>
      </c>
      <c r="M67" s="58" t="s">
        <v>51</v>
      </c>
      <c r="N67" s="58" t="s">
        <v>41</v>
      </c>
      <c r="O67" s="58"/>
      <c r="P67" s="58" t="s">
        <v>41</v>
      </c>
      <c r="Q67" s="58"/>
      <c r="R67" s="58" t="s">
        <v>41</v>
      </c>
      <c r="S67" s="58"/>
      <c r="T67" s="58" t="s">
        <v>41</v>
      </c>
      <c r="U67" s="58"/>
      <c r="V67" s="58" t="s">
        <v>41</v>
      </c>
      <c r="W67" s="58"/>
      <c r="AD67" s="58" t="s">
        <v>72</v>
      </c>
      <c r="AE67" s="58"/>
      <c r="AF67" s="58">
        <v>45</v>
      </c>
      <c r="AG67" s="58" t="e">
        <v>#VALUE!</v>
      </c>
      <c r="AH67" s="58" t="e">
        <v>#VALUE!</v>
      </c>
      <c r="AI67" s="58" t="s">
        <v>68</v>
      </c>
      <c r="AJ67" s="53" t="s">
        <v>41</v>
      </c>
      <c r="AK67" s="53" t="s">
        <v>41</v>
      </c>
      <c r="AL67" s="53" t="s">
        <v>41</v>
      </c>
      <c r="AM67" s="53" t="s">
        <v>38</v>
      </c>
      <c r="AN67" s="53" t="s">
        <v>41</v>
      </c>
      <c r="AQ67" s="53" t="s">
        <v>41</v>
      </c>
      <c r="AR67" s="58">
        <v>8</v>
      </c>
      <c r="AS67" s="58">
        <v>3</v>
      </c>
    </row>
    <row r="68" spans="1:45" x14ac:dyDescent="0.3">
      <c r="A68" s="53" t="s">
        <v>875</v>
      </c>
      <c r="B68" s="58" t="s">
        <v>188</v>
      </c>
      <c r="C68" s="58" t="s">
        <v>188</v>
      </c>
      <c r="D68" s="65">
        <v>44636</v>
      </c>
      <c r="F68" s="58" t="s">
        <v>39</v>
      </c>
      <c r="G68" s="58">
        <v>36.200000000000003</v>
      </c>
      <c r="H68" s="58" t="s">
        <v>41</v>
      </c>
      <c r="I68" s="58"/>
      <c r="J68" s="58" t="s">
        <v>41</v>
      </c>
      <c r="K68" s="58"/>
      <c r="L68" s="58" t="s">
        <v>41</v>
      </c>
      <c r="M68" s="58"/>
      <c r="N68" s="58" t="s">
        <v>41</v>
      </c>
      <c r="O68" s="58"/>
      <c r="P68" s="58" t="s">
        <v>41</v>
      </c>
      <c r="Q68" s="58"/>
      <c r="R68" s="58" t="s">
        <v>41</v>
      </c>
      <c r="S68" s="58"/>
      <c r="T68" s="58" t="s">
        <v>41</v>
      </c>
      <c r="U68" s="58"/>
      <c r="V68" s="58" t="s">
        <v>41</v>
      </c>
      <c r="W68" s="58"/>
      <c r="AD68" s="58"/>
      <c r="AE68" s="58" t="s">
        <v>69</v>
      </c>
      <c r="AF68" s="58"/>
      <c r="AG68" s="58">
        <v>0</v>
      </c>
      <c r="AH68" s="58" t="e">
        <v>#DIV/0!</v>
      </c>
      <c r="AI68" s="58" t="s">
        <v>188</v>
      </c>
      <c r="AR68" s="58"/>
      <c r="AS68" s="58"/>
    </row>
    <row r="69" spans="1:45" x14ac:dyDescent="0.3">
      <c r="A69" s="53" t="s">
        <v>277</v>
      </c>
      <c r="B69" s="58" t="s">
        <v>36</v>
      </c>
      <c r="C69" s="58">
        <v>24</v>
      </c>
      <c r="D69" s="65">
        <v>44637</v>
      </c>
      <c r="F69" s="58" t="s">
        <v>39</v>
      </c>
      <c r="G69" s="58" t="s">
        <v>69</v>
      </c>
      <c r="H69" s="58" t="s">
        <v>38</v>
      </c>
      <c r="I69" s="58" t="s">
        <v>110</v>
      </c>
      <c r="J69" s="58" t="s">
        <v>38</v>
      </c>
      <c r="K69" s="58" t="s">
        <v>43</v>
      </c>
      <c r="L69" s="58" t="s">
        <v>38</v>
      </c>
      <c r="M69" s="58" t="s">
        <v>52</v>
      </c>
      <c r="N69" s="58" t="s">
        <v>38</v>
      </c>
      <c r="O69" s="58" t="s">
        <v>165</v>
      </c>
      <c r="P69" s="58" t="s">
        <v>41</v>
      </c>
      <c r="Q69" s="58"/>
      <c r="R69" s="58" t="s">
        <v>41</v>
      </c>
      <c r="S69" s="58"/>
      <c r="T69" s="58" t="s">
        <v>41</v>
      </c>
      <c r="U69" s="58"/>
      <c r="V69" s="58" t="s">
        <v>41</v>
      </c>
      <c r="W69" s="58"/>
      <c r="AD69" s="58" t="s">
        <v>45</v>
      </c>
      <c r="AE69" s="58"/>
      <c r="AF69" s="58" t="s">
        <v>69</v>
      </c>
      <c r="AG69" s="58" t="e">
        <v>#VALUE!</v>
      </c>
      <c r="AH69" s="58" t="e">
        <v>#VALUE!</v>
      </c>
      <c r="AI69" s="58" t="s">
        <v>68</v>
      </c>
      <c r="AJ69" s="53" t="s">
        <v>41</v>
      </c>
      <c r="AK69" s="53" t="s">
        <v>41</v>
      </c>
      <c r="AL69" s="53" t="s">
        <v>41</v>
      </c>
      <c r="AM69" s="53" t="s">
        <v>41</v>
      </c>
      <c r="AN69" s="53" t="s">
        <v>38</v>
      </c>
      <c r="AO69" s="53" t="s">
        <v>280</v>
      </c>
      <c r="AP69" s="53" t="s">
        <v>259</v>
      </c>
      <c r="AQ69" s="53" t="s">
        <v>38</v>
      </c>
      <c r="AR69" s="58">
        <v>2</v>
      </c>
      <c r="AS69" s="58">
        <v>1</v>
      </c>
    </row>
    <row r="70" spans="1:45" x14ac:dyDescent="0.3">
      <c r="A70" s="53" t="s">
        <v>876</v>
      </c>
      <c r="B70" s="58" t="s">
        <v>188</v>
      </c>
      <c r="C70" s="58" t="s">
        <v>188</v>
      </c>
      <c r="D70" s="65">
        <v>44700</v>
      </c>
      <c r="F70" s="58" t="s">
        <v>39</v>
      </c>
      <c r="G70" s="58">
        <v>36.200000000000003</v>
      </c>
      <c r="H70" s="58" t="s">
        <v>41</v>
      </c>
      <c r="I70" s="58"/>
      <c r="J70" s="58" t="s">
        <v>41</v>
      </c>
      <c r="K70" s="58"/>
      <c r="L70" s="58" t="s">
        <v>41</v>
      </c>
      <c r="M70" s="58"/>
      <c r="N70" s="58" t="s">
        <v>41</v>
      </c>
      <c r="O70" s="58"/>
      <c r="P70" s="58" t="s">
        <v>41</v>
      </c>
      <c r="Q70" s="58"/>
      <c r="R70" s="58" t="s">
        <v>41</v>
      </c>
      <c r="S70" s="58"/>
      <c r="T70" s="58" t="s">
        <v>41</v>
      </c>
      <c r="U70" s="58"/>
      <c r="V70" s="58" t="s">
        <v>41</v>
      </c>
      <c r="W70" s="58"/>
      <c r="AD70" s="58"/>
      <c r="AE70" s="58" t="s">
        <v>94</v>
      </c>
      <c r="AF70" s="58" t="s">
        <v>188</v>
      </c>
      <c r="AG70" s="58" t="e">
        <v>#VALUE!</v>
      </c>
      <c r="AH70" s="58" t="e">
        <v>#VALUE!</v>
      </c>
      <c r="AI70" s="58" t="s">
        <v>188</v>
      </c>
      <c r="AR70" s="58"/>
      <c r="AS70" s="58"/>
    </row>
    <row r="71" spans="1:45" x14ac:dyDescent="0.3">
      <c r="A71" s="53" t="s">
        <v>282</v>
      </c>
      <c r="B71" s="58" t="s">
        <v>36</v>
      </c>
      <c r="C71" s="58">
        <v>39</v>
      </c>
      <c r="D71" s="65">
        <v>44638</v>
      </c>
      <c r="F71" s="58" t="s">
        <v>39</v>
      </c>
      <c r="G71" s="58">
        <v>37</v>
      </c>
      <c r="H71" s="58" t="s">
        <v>38</v>
      </c>
      <c r="I71" s="58" t="s">
        <v>53</v>
      </c>
      <c r="J71" s="58" t="s">
        <v>38</v>
      </c>
      <c r="K71" s="58" t="s">
        <v>51</v>
      </c>
      <c r="L71" s="58" t="s">
        <v>41</v>
      </c>
      <c r="M71" s="58"/>
      <c r="N71" s="58" t="s">
        <v>38</v>
      </c>
      <c r="O71" s="58" t="s">
        <v>285</v>
      </c>
      <c r="P71" s="58"/>
      <c r="Q71" s="58" t="s">
        <v>41</v>
      </c>
      <c r="R71" s="58" t="s">
        <v>38</v>
      </c>
      <c r="S71" s="58" t="s">
        <v>286</v>
      </c>
      <c r="T71" s="58" t="s">
        <v>41</v>
      </c>
      <c r="U71" s="58"/>
      <c r="V71" s="58" t="s">
        <v>41</v>
      </c>
      <c r="W71" s="58"/>
      <c r="AD71" s="58" t="s">
        <v>57</v>
      </c>
      <c r="AE71" s="58" t="s">
        <v>290</v>
      </c>
      <c r="AF71" s="58">
        <v>71</v>
      </c>
      <c r="AG71" s="58">
        <v>1.69</v>
      </c>
      <c r="AH71" s="58">
        <v>24.859073561850078</v>
      </c>
      <c r="AI71" s="58" t="s">
        <v>37</v>
      </c>
      <c r="AJ71" s="53" t="s">
        <v>41</v>
      </c>
      <c r="AK71" s="53" t="s">
        <v>41</v>
      </c>
      <c r="AL71" s="53" t="s">
        <v>41</v>
      </c>
      <c r="AM71" s="53" t="s">
        <v>41</v>
      </c>
      <c r="AN71" s="53" t="s">
        <v>41</v>
      </c>
      <c r="AQ71" s="53" t="s">
        <v>41</v>
      </c>
      <c r="AR71" s="58">
        <v>2</v>
      </c>
      <c r="AS71" s="58">
        <v>2</v>
      </c>
    </row>
    <row r="72" spans="1:45" x14ac:dyDescent="0.3">
      <c r="A72" s="53" t="s">
        <v>287</v>
      </c>
      <c r="B72" s="58" t="s">
        <v>87</v>
      </c>
      <c r="C72" s="58">
        <v>30</v>
      </c>
      <c r="D72" s="65">
        <v>44638</v>
      </c>
      <c r="F72" s="58" t="s">
        <v>39</v>
      </c>
      <c r="G72" s="58">
        <v>36.200000000000003</v>
      </c>
      <c r="H72" s="58" t="s">
        <v>38</v>
      </c>
      <c r="I72" s="58" t="s">
        <v>50</v>
      </c>
      <c r="J72" s="58" t="s">
        <v>38</v>
      </c>
      <c r="K72" s="58" t="s">
        <v>52</v>
      </c>
      <c r="L72" s="58" t="s">
        <v>38</v>
      </c>
      <c r="M72" s="58" t="s">
        <v>195</v>
      </c>
      <c r="N72" s="58" t="s">
        <v>38</v>
      </c>
      <c r="O72" s="58" t="s">
        <v>52</v>
      </c>
      <c r="P72" s="58" t="s">
        <v>38</v>
      </c>
      <c r="Q72" s="58" t="s">
        <v>50</v>
      </c>
      <c r="R72" s="58" t="s">
        <v>104</v>
      </c>
      <c r="S72" s="58" t="s">
        <v>55</v>
      </c>
      <c r="T72" s="58" t="s">
        <v>41</v>
      </c>
      <c r="U72" s="58"/>
      <c r="V72" s="58" t="s">
        <v>41</v>
      </c>
      <c r="W72" s="58"/>
      <c r="AD72" s="58" t="s">
        <v>45</v>
      </c>
      <c r="AE72" s="58" t="s">
        <v>295</v>
      </c>
      <c r="AF72" s="58">
        <v>63</v>
      </c>
      <c r="AG72" s="58">
        <v>1.66</v>
      </c>
      <c r="AH72" s="58">
        <v>22.862534475250399</v>
      </c>
      <c r="AI72" s="58" t="s">
        <v>68</v>
      </c>
      <c r="AJ72" s="53" t="s">
        <v>41</v>
      </c>
      <c r="AK72" s="53" t="s">
        <v>41</v>
      </c>
      <c r="AL72" s="53" t="s">
        <v>41</v>
      </c>
      <c r="AM72" s="53" t="s">
        <v>41</v>
      </c>
      <c r="AN72" s="53" t="s">
        <v>41</v>
      </c>
      <c r="AQ72" s="53" t="s">
        <v>41</v>
      </c>
      <c r="AR72" s="58">
        <v>4</v>
      </c>
      <c r="AS72" s="58">
        <v>2</v>
      </c>
    </row>
    <row r="73" spans="1:45" x14ac:dyDescent="0.3">
      <c r="A73" s="53" t="s">
        <v>291</v>
      </c>
      <c r="B73" s="58" t="s">
        <v>36</v>
      </c>
      <c r="C73" s="58">
        <v>36</v>
      </c>
      <c r="D73" s="65">
        <v>44642</v>
      </c>
      <c r="F73" s="58" t="s">
        <v>39</v>
      </c>
      <c r="G73" s="58" t="s">
        <v>69</v>
      </c>
      <c r="H73" s="58" t="s">
        <v>38</v>
      </c>
      <c r="I73" s="58" t="s">
        <v>246</v>
      </c>
      <c r="J73" s="58" t="s">
        <v>38</v>
      </c>
      <c r="K73" s="58" t="s">
        <v>55</v>
      </c>
      <c r="L73" s="58" t="s">
        <v>38</v>
      </c>
      <c r="M73" s="58" t="s">
        <v>55</v>
      </c>
      <c r="N73" s="58" t="s">
        <v>104</v>
      </c>
      <c r="O73" s="58" t="s">
        <v>110</v>
      </c>
      <c r="P73" s="58" t="s">
        <v>104</v>
      </c>
      <c r="Q73" s="58" t="s">
        <v>110</v>
      </c>
      <c r="R73" s="58" t="s">
        <v>38</v>
      </c>
      <c r="S73" s="58" t="s">
        <v>52</v>
      </c>
      <c r="T73" s="58" t="s">
        <v>41</v>
      </c>
      <c r="U73" s="58"/>
      <c r="V73" s="58" t="s">
        <v>294</v>
      </c>
      <c r="W73" s="58"/>
      <c r="AD73" s="58" t="s">
        <v>172</v>
      </c>
      <c r="AE73" s="58"/>
      <c r="AF73" s="58" t="s">
        <v>69</v>
      </c>
      <c r="AG73" s="58" t="e">
        <v>#VALUE!</v>
      </c>
      <c r="AH73" s="58" t="e">
        <v>#VALUE!</v>
      </c>
      <c r="AI73" s="58" t="s">
        <v>37</v>
      </c>
      <c r="AJ73" s="53" t="s">
        <v>41</v>
      </c>
      <c r="AK73" s="53" t="s">
        <v>41</v>
      </c>
      <c r="AL73" s="53" t="s">
        <v>41</v>
      </c>
      <c r="AM73" s="53" t="s">
        <v>41</v>
      </c>
      <c r="AN73" s="53" t="s">
        <v>41</v>
      </c>
      <c r="AR73" s="58">
        <v>6</v>
      </c>
      <c r="AS73" s="58">
        <v>3</v>
      </c>
    </row>
    <row r="74" spans="1:45" x14ac:dyDescent="0.3">
      <c r="A74" s="53" t="s">
        <v>296</v>
      </c>
      <c r="B74" s="58" t="s">
        <v>36</v>
      </c>
      <c r="C74" s="58">
        <v>29</v>
      </c>
      <c r="D74" s="65">
        <v>44643</v>
      </c>
      <c r="F74" s="58" t="s">
        <v>39</v>
      </c>
      <c r="G74" s="58">
        <v>36.200000000000003</v>
      </c>
      <c r="H74" s="58" t="s">
        <v>38</v>
      </c>
      <c r="I74" s="58" t="s">
        <v>51</v>
      </c>
      <c r="J74" s="58" t="s">
        <v>41</v>
      </c>
      <c r="K74" s="58"/>
      <c r="L74" s="58" t="s">
        <v>41</v>
      </c>
      <c r="M74" s="58"/>
      <c r="N74" s="58" t="s">
        <v>38</v>
      </c>
      <c r="O74" s="58" t="s">
        <v>165</v>
      </c>
      <c r="P74" s="58" t="s">
        <v>38</v>
      </c>
      <c r="Q74" s="58" t="s">
        <v>55</v>
      </c>
      <c r="R74" s="58" t="s">
        <v>38</v>
      </c>
      <c r="S74" s="58" t="s">
        <v>165</v>
      </c>
      <c r="T74" s="58" t="s">
        <v>41</v>
      </c>
      <c r="U74" s="58"/>
      <c r="V74" s="58" t="s">
        <v>41</v>
      </c>
      <c r="W74" s="58"/>
      <c r="AD74" s="58" t="s">
        <v>172</v>
      </c>
      <c r="AE74" s="58" t="s">
        <v>118</v>
      </c>
      <c r="AF74" s="58" t="s">
        <v>69</v>
      </c>
      <c r="AG74" s="58" t="e">
        <v>#VALUE!</v>
      </c>
      <c r="AH74" s="58" t="e">
        <v>#VALUE!</v>
      </c>
      <c r="AI74" s="58" t="s">
        <v>68</v>
      </c>
      <c r="AJ74" s="53" t="s">
        <v>41</v>
      </c>
      <c r="AK74" s="53" t="s">
        <v>41</v>
      </c>
      <c r="AL74" s="53" t="s">
        <v>38</v>
      </c>
      <c r="AM74" s="53" t="s">
        <v>38</v>
      </c>
      <c r="AN74" s="53" t="s">
        <v>41</v>
      </c>
      <c r="AQ74" s="53" t="s">
        <v>41</v>
      </c>
      <c r="AR74" s="58">
        <v>3</v>
      </c>
      <c r="AS74" s="58">
        <v>3</v>
      </c>
    </row>
    <row r="75" spans="1:45" x14ac:dyDescent="0.3">
      <c r="A75" s="53" t="s">
        <v>299</v>
      </c>
      <c r="B75" s="58" t="s">
        <v>87</v>
      </c>
      <c r="C75" s="58">
        <v>43</v>
      </c>
      <c r="D75" s="65">
        <v>44644</v>
      </c>
      <c r="F75" s="58" t="s">
        <v>39</v>
      </c>
      <c r="G75" s="58">
        <v>37</v>
      </c>
      <c r="H75" s="58" t="s">
        <v>38</v>
      </c>
      <c r="I75" s="58" t="s">
        <v>43</v>
      </c>
      <c r="J75" s="58" t="s">
        <v>41</v>
      </c>
      <c r="K75" s="58"/>
      <c r="L75" s="58" t="s">
        <v>38</v>
      </c>
      <c r="M75" s="58" t="s">
        <v>195</v>
      </c>
      <c r="N75" s="58" t="s">
        <v>41</v>
      </c>
      <c r="O75" s="58"/>
      <c r="P75" s="58" t="s">
        <v>41</v>
      </c>
      <c r="Q75" s="58"/>
      <c r="R75" s="58" t="s">
        <v>41</v>
      </c>
      <c r="S75" s="58"/>
      <c r="T75" s="58" t="s">
        <v>41</v>
      </c>
      <c r="U75" s="58"/>
      <c r="V75" s="58" t="s">
        <v>301</v>
      </c>
      <c r="W75" s="58"/>
      <c r="AD75" s="58" t="s">
        <v>57</v>
      </c>
      <c r="AE75" s="58"/>
      <c r="AF75" s="58" t="s">
        <v>69</v>
      </c>
      <c r="AG75" s="58" t="e">
        <v>#VALUE!</v>
      </c>
      <c r="AH75" s="58" t="e">
        <v>#VALUE!</v>
      </c>
      <c r="AI75" s="58" t="s">
        <v>37</v>
      </c>
      <c r="AJ75" s="53" t="s">
        <v>41</v>
      </c>
      <c r="AK75" s="53" t="s">
        <v>41</v>
      </c>
      <c r="AL75" s="53" t="s">
        <v>38</v>
      </c>
      <c r="AM75" s="53" t="s">
        <v>41</v>
      </c>
      <c r="AN75" s="53" t="s">
        <v>41</v>
      </c>
      <c r="AQ75" s="53" t="s">
        <v>41</v>
      </c>
      <c r="AR75" s="58">
        <v>1</v>
      </c>
      <c r="AS75" s="58">
        <v>1</v>
      </c>
    </row>
    <row r="76" spans="1:45" x14ac:dyDescent="0.3">
      <c r="A76" s="53" t="s">
        <v>877</v>
      </c>
      <c r="B76" s="58" t="s">
        <v>36</v>
      </c>
      <c r="C76" s="58">
        <v>30</v>
      </c>
      <c r="D76" s="65">
        <v>44648</v>
      </c>
      <c r="F76" s="58" t="s">
        <v>39</v>
      </c>
      <c r="G76" s="58">
        <v>36</v>
      </c>
      <c r="H76" s="58" t="s">
        <v>38</v>
      </c>
      <c r="I76" s="58" t="s">
        <v>305</v>
      </c>
      <c r="J76" s="58" t="s">
        <v>41</v>
      </c>
      <c r="K76" s="58"/>
      <c r="L76" s="58" t="s">
        <v>38</v>
      </c>
      <c r="M76" s="58" t="s">
        <v>82</v>
      </c>
      <c r="N76" s="58" t="s">
        <v>41</v>
      </c>
      <c r="O76" s="58"/>
      <c r="P76" s="58"/>
      <c r="Q76" s="58"/>
      <c r="R76" s="58"/>
      <c r="S76" s="58"/>
      <c r="T76" s="58"/>
      <c r="U76" s="58"/>
      <c r="V76" s="58"/>
      <c r="W76" s="58"/>
      <c r="AD76" s="58"/>
      <c r="AE76" s="58" t="s">
        <v>71</v>
      </c>
      <c r="AF76" s="58">
        <v>49</v>
      </c>
      <c r="AG76" s="58">
        <v>1.61</v>
      </c>
      <c r="AH76" s="58">
        <v>18.903591682419659</v>
      </c>
      <c r="AI76" s="67" t="s">
        <v>68</v>
      </c>
      <c r="AR76" s="58"/>
      <c r="AS76" s="58"/>
    </row>
    <row r="77" spans="1:45" x14ac:dyDescent="0.3">
      <c r="A77" s="53" t="s">
        <v>306</v>
      </c>
      <c r="B77" s="58" t="s">
        <v>36</v>
      </c>
      <c r="C77" s="58">
        <v>24</v>
      </c>
      <c r="D77" s="65">
        <v>44650</v>
      </c>
      <c r="F77" s="58" t="s">
        <v>39</v>
      </c>
      <c r="G77" s="58">
        <v>37</v>
      </c>
      <c r="H77" s="58" t="s">
        <v>38</v>
      </c>
      <c r="I77" s="58" t="s">
        <v>110</v>
      </c>
      <c r="J77" s="58" t="s">
        <v>38</v>
      </c>
      <c r="K77" s="58" t="s">
        <v>110</v>
      </c>
      <c r="L77" s="58" t="s">
        <v>38</v>
      </c>
      <c r="M77" s="58" t="s">
        <v>110</v>
      </c>
      <c r="N77" s="58" t="s">
        <v>38</v>
      </c>
      <c r="O77" s="58" t="s">
        <v>110</v>
      </c>
      <c r="P77" s="58" t="s">
        <v>41</v>
      </c>
      <c r="Q77" s="58"/>
      <c r="R77" s="58" t="s">
        <v>38</v>
      </c>
      <c r="S77" s="58" t="s">
        <v>110</v>
      </c>
      <c r="T77" s="58" t="s">
        <v>38</v>
      </c>
      <c r="U77" s="58" t="s">
        <v>43</v>
      </c>
      <c r="V77" s="58" t="s">
        <v>41</v>
      </c>
      <c r="W77" s="58"/>
      <c r="AD77" s="58" t="s">
        <v>72</v>
      </c>
      <c r="AE77" s="58" t="s">
        <v>214</v>
      </c>
      <c r="AF77" s="58">
        <v>57</v>
      </c>
      <c r="AG77" s="58">
        <v>1.7</v>
      </c>
      <c r="AH77" s="58">
        <v>19.723183391003463</v>
      </c>
      <c r="AI77" s="58" t="s">
        <v>68</v>
      </c>
      <c r="AJ77" s="53" t="s">
        <v>41</v>
      </c>
      <c r="AK77" s="53" t="s">
        <v>41</v>
      </c>
      <c r="AL77" s="53" t="s">
        <v>41</v>
      </c>
      <c r="AM77" s="53" t="s">
        <v>41</v>
      </c>
      <c r="AN77" s="53" t="s">
        <v>41</v>
      </c>
      <c r="AQ77" s="53" t="s">
        <v>41</v>
      </c>
      <c r="AR77" s="58">
        <v>1</v>
      </c>
      <c r="AS77" s="58">
        <v>1</v>
      </c>
    </row>
    <row r="78" spans="1:45" x14ac:dyDescent="0.3">
      <c r="A78" s="53" t="s">
        <v>308</v>
      </c>
      <c r="B78" s="58" t="s">
        <v>36</v>
      </c>
      <c r="C78" s="58">
        <v>34</v>
      </c>
      <c r="D78" s="64">
        <v>44663</v>
      </c>
      <c r="F78" s="58" t="s">
        <v>39</v>
      </c>
      <c r="G78" s="58">
        <v>37</v>
      </c>
      <c r="H78" s="58" t="s">
        <v>38</v>
      </c>
      <c r="I78" s="58" t="s">
        <v>53</v>
      </c>
      <c r="J78" s="58" t="s">
        <v>38</v>
      </c>
      <c r="K78" s="58" t="s">
        <v>53</v>
      </c>
      <c r="L78" s="58" t="s">
        <v>38</v>
      </c>
      <c r="M78" s="58" t="s">
        <v>53</v>
      </c>
      <c r="N78" s="58" t="s">
        <v>38</v>
      </c>
      <c r="O78" s="58" t="s">
        <v>53</v>
      </c>
      <c r="P78" s="58" t="s">
        <v>41</v>
      </c>
      <c r="Q78" s="58"/>
      <c r="R78" s="58" t="s">
        <v>38</v>
      </c>
      <c r="S78" s="58" t="s">
        <v>53</v>
      </c>
      <c r="T78" s="58" t="s">
        <v>41</v>
      </c>
      <c r="U78" s="58"/>
      <c r="V78" s="58" t="s">
        <v>311</v>
      </c>
      <c r="W78" s="58"/>
      <c r="AD78" s="58" t="s">
        <v>72</v>
      </c>
      <c r="AE78" s="58" t="s">
        <v>316</v>
      </c>
      <c r="AF78" s="58" t="s">
        <v>69</v>
      </c>
      <c r="AG78" s="58" t="e">
        <v>#VALUE!</v>
      </c>
      <c r="AH78" s="58" t="e">
        <v>#VALUE!</v>
      </c>
      <c r="AI78" s="58" t="s">
        <v>37</v>
      </c>
      <c r="AJ78" s="53" t="s">
        <v>41</v>
      </c>
      <c r="AK78" s="53" t="s">
        <v>41</v>
      </c>
      <c r="AL78" s="53" t="s">
        <v>41</v>
      </c>
      <c r="AM78" s="53" t="s">
        <v>41</v>
      </c>
      <c r="AN78" s="53" t="s">
        <v>312</v>
      </c>
      <c r="AP78" s="53" t="s">
        <v>313</v>
      </c>
      <c r="AQ78" s="53" t="s">
        <v>41</v>
      </c>
      <c r="AR78" s="58">
        <v>2</v>
      </c>
      <c r="AS78" s="58">
        <v>1</v>
      </c>
    </row>
    <row r="79" spans="1:45" x14ac:dyDescent="0.3">
      <c r="A79" s="53" t="s">
        <v>314</v>
      </c>
      <c r="B79" s="58" t="s">
        <v>36</v>
      </c>
      <c r="C79" s="58">
        <v>57</v>
      </c>
      <c r="D79" s="64">
        <v>44657</v>
      </c>
      <c r="F79" s="58" t="s">
        <v>39</v>
      </c>
      <c r="G79" s="58" t="s">
        <v>69</v>
      </c>
      <c r="H79" s="58" t="s">
        <v>38</v>
      </c>
      <c r="I79" s="58" t="s">
        <v>52</v>
      </c>
      <c r="J79" s="58" t="s">
        <v>38</v>
      </c>
      <c r="K79" s="58" t="s">
        <v>52</v>
      </c>
      <c r="L79" s="58" t="s">
        <v>38</v>
      </c>
      <c r="M79" s="58" t="s">
        <v>65</v>
      </c>
      <c r="N79" s="58" t="s">
        <v>38</v>
      </c>
      <c r="O79" s="58" t="s">
        <v>43</v>
      </c>
      <c r="P79" s="58" t="s">
        <v>41</v>
      </c>
      <c r="Q79" s="58"/>
      <c r="R79" s="58" t="s">
        <v>41</v>
      </c>
      <c r="S79" s="58"/>
      <c r="T79" s="58" t="s">
        <v>41</v>
      </c>
      <c r="U79" s="58"/>
      <c r="V79" s="58" t="s">
        <v>41</v>
      </c>
      <c r="W79" s="58"/>
      <c r="AD79" s="58" t="s">
        <v>61</v>
      </c>
      <c r="AE79" s="58" t="s">
        <v>141</v>
      </c>
      <c r="AF79" s="58" t="s">
        <v>69</v>
      </c>
      <c r="AG79" s="58" t="e">
        <v>#VALUE!</v>
      </c>
      <c r="AH79" s="58" t="e">
        <v>#VALUE!</v>
      </c>
      <c r="AI79" s="58" t="s">
        <v>37</v>
      </c>
      <c r="AJ79" s="53" t="s">
        <v>41</v>
      </c>
      <c r="AK79" s="53" t="s">
        <v>41</v>
      </c>
      <c r="AL79" s="53" t="s">
        <v>41</v>
      </c>
      <c r="AM79" s="53" t="s">
        <v>41</v>
      </c>
      <c r="AN79" s="53" t="s">
        <v>38</v>
      </c>
      <c r="AO79" s="53">
        <v>2008</v>
      </c>
      <c r="AP79" s="53" t="s">
        <v>313</v>
      </c>
      <c r="AQ79" s="53" t="s">
        <v>41</v>
      </c>
      <c r="AR79" s="58">
        <v>1</v>
      </c>
      <c r="AS79" s="58">
        <v>1</v>
      </c>
    </row>
    <row r="80" spans="1:45" x14ac:dyDescent="0.3">
      <c r="A80" s="53" t="s">
        <v>317</v>
      </c>
      <c r="B80" s="58" t="s">
        <v>87</v>
      </c>
      <c r="C80" s="58">
        <v>29</v>
      </c>
      <c r="D80" s="65">
        <v>44697</v>
      </c>
      <c r="F80" s="58" t="s">
        <v>39</v>
      </c>
      <c r="G80" s="58" t="s">
        <v>69</v>
      </c>
      <c r="H80" s="58" t="s">
        <v>38</v>
      </c>
      <c r="I80" s="58" t="s">
        <v>43</v>
      </c>
      <c r="J80" s="58" t="s">
        <v>41</v>
      </c>
      <c r="K80" s="58"/>
      <c r="L80" s="58" t="s">
        <v>41</v>
      </c>
      <c r="M80" s="58"/>
      <c r="N80" s="58" t="s">
        <v>41</v>
      </c>
      <c r="O80" s="58"/>
      <c r="P80" s="58" t="s">
        <v>41</v>
      </c>
      <c r="Q80" s="58"/>
      <c r="R80" s="58" t="s">
        <v>38</v>
      </c>
      <c r="S80" s="58" t="s">
        <v>52</v>
      </c>
      <c r="T80" s="58" t="s">
        <v>41</v>
      </c>
      <c r="U80" s="58"/>
      <c r="V80" s="58" t="s">
        <v>41</v>
      </c>
      <c r="W80" s="58"/>
      <c r="AD80" s="58" t="s">
        <v>99</v>
      </c>
      <c r="AE80" s="58" t="s">
        <v>323</v>
      </c>
      <c r="AF80" s="58" t="s">
        <v>69</v>
      </c>
      <c r="AG80" s="58" t="e">
        <v>#VALUE!</v>
      </c>
      <c r="AH80" s="58" t="e">
        <v>#VALUE!</v>
      </c>
      <c r="AI80" s="58" t="s">
        <v>37</v>
      </c>
      <c r="AJ80" s="53" t="s">
        <v>41</v>
      </c>
      <c r="AK80" s="53" t="s">
        <v>41</v>
      </c>
      <c r="AL80" s="53" t="s">
        <v>38</v>
      </c>
      <c r="AM80" s="53" t="s">
        <v>38</v>
      </c>
      <c r="AN80" s="53" t="s">
        <v>41</v>
      </c>
      <c r="AQ80" s="53" t="s">
        <v>41</v>
      </c>
      <c r="AR80" s="58">
        <v>2</v>
      </c>
      <c r="AS80" s="58">
        <v>1</v>
      </c>
    </row>
    <row r="81" spans="1:45" x14ac:dyDescent="0.3">
      <c r="A81" s="53" t="s">
        <v>319</v>
      </c>
      <c r="B81" s="58" t="s">
        <v>36</v>
      </c>
      <c r="C81" s="58">
        <v>42</v>
      </c>
      <c r="D81" s="65">
        <v>44701</v>
      </c>
      <c r="F81" s="58" t="s">
        <v>39</v>
      </c>
      <c r="G81" s="58" t="s">
        <v>69</v>
      </c>
      <c r="H81" s="58" t="s">
        <v>38</v>
      </c>
      <c r="I81" s="58" t="s">
        <v>51</v>
      </c>
      <c r="J81" s="58" t="s">
        <v>38</v>
      </c>
      <c r="K81" s="58" t="s">
        <v>51</v>
      </c>
      <c r="L81" s="58" t="s">
        <v>38</v>
      </c>
      <c r="M81" s="58" t="s">
        <v>322</v>
      </c>
      <c r="N81" s="58" t="s">
        <v>38</v>
      </c>
      <c r="O81" s="58" t="s">
        <v>51</v>
      </c>
      <c r="P81" s="58" t="s">
        <v>41</v>
      </c>
      <c r="Q81" s="58"/>
      <c r="R81" s="58" t="s">
        <v>38</v>
      </c>
      <c r="S81" s="58" t="s">
        <v>51</v>
      </c>
      <c r="T81" s="58" t="s">
        <v>41</v>
      </c>
      <c r="U81" s="58"/>
      <c r="V81" s="58" t="s">
        <v>41</v>
      </c>
      <c r="W81" s="58"/>
      <c r="AD81" s="58" t="s">
        <v>61</v>
      </c>
      <c r="AE81" s="58" t="s">
        <v>144</v>
      </c>
      <c r="AF81" s="58">
        <v>48</v>
      </c>
      <c r="AG81" s="58" t="e">
        <v>#VALUE!</v>
      </c>
      <c r="AH81" s="58" t="e">
        <v>#VALUE!</v>
      </c>
      <c r="AI81" s="58" t="s">
        <v>68</v>
      </c>
      <c r="AJ81" s="53" t="s">
        <v>41</v>
      </c>
      <c r="AK81" s="53" t="s">
        <v>41</v>
      </c>
      <c r="AL81" s="53" t="s">
        <v>38</v>
      </c>
      <c r="AM81" s="53" t="s">
        <v>38</v>
      </c>
      <c r="AN81" s="53" t="s">
        <v>38</v>
      </c>
      <c r="AO81" s="53">
        <v>2021</v>
      </c>
      <c r="AP81" s="53" t="s">
        <v>313</v>
      </c>
      <c r="AQ81" s="53" t="s">
        <v>41</v>
      </c>
      <c r="AR81" s="58">
        <v>1</v>
      </c>
      <c r="AS81" s="58">
        <v>1</v>
      </c>
    </row>
    <row r="82" spans="1:45" x14ac:dyDescent="0.3">
      <c r="A82" s="53" t="s">
        <v>324</v>
      </c>
      <c r="B82" s="58" t="s">
        <v>87</v>
      </c>
      <c r="C82" s="58">
        <v>24</v>
      </c>
      <c r="D82" s="65">
        <v>44704</v>
      </c>
      <c r="F82" s="58" t="s">
        <v>39</v>
      </c>
      <c r="G82" s="58" t="s">
        <v>69</v>
      </c>
      <c r="H82" s="58" t="s">
        <v>38</v>
      </c>
      <c r="I82" s="58" t="s">
        <v>326</v>
      </c>
      <c r="J82" s="58" t="s">
        <v>38</v>
      </c>
      <c r="K82" s="58" t="s">
        <v>327</v>
      </c>
      <c r="L82" s="58" t="s">
        <v>38</v>
      </c>
      <c r="M82" s="58" t="s">
        <v>328</v>
      </c>
      <c r="N82" s="58" t="s">
        <v>41</v>
      </c>
      <c r="O82" s="58"/>
      <c r="P82" s="58" t="s">
        <v>38</v>
      </c>
      <c r="Q82" s="58" t="s">
        <v>329</v>
      </c>
      <c r="R82" s="58" t="s">
        <v>38</v>
      </c>
      <c r="S82" s="58" t="s">
        <v>329</v>
      </c>
      <c r="T82" s="58" t="s">
        <v>38</v>
      </c>
      <c r="U82" s="58" t="s">
        <v>330</v>
      </c>
      <c r="V82" s="58" t="s">
        <v>41</v>
      </c>
      <c r="W82" s="58"/>
      <c r="AD82" s="58" t="s">
        <v>61</v>
      </c>
      <c r="AE82" s="58" t="s">
        <v>118</v>
      </c>
      <c r="AF82" s="58">
        <v>50</v>
      </c>
      <c r="AG82" s="58">
        <v>1.49</v>
      </c>
      <c r="AH82" s="58">
        <v>22.521508040178372</v>
      </c>
      <c r="AI82" s="58" t="s">
        <v>68</v>
      </c>
      <c r="AJ82" s="53" t="s">
        <v>38</v>
      </c>
      <c r="AK82" s="53" t="s">
        <v>41</v>
      </c>
      <c r="AL82" s="53" t="s">
        <v>41</v>
      </c>
      <c r="AM82" s="53" t="s">
        <v>41</v>
      </c>
      <c r="AQ82" s="53" t="s">
        <v>41</v>
      </c>
      <c r="AR82" s="58">
        <v>2</v>
      </c>
      <c r="AS82" s="58">
        <v>1</v>
      </c>
    </row>
    <row r="83" spans="1:45" x14ac:dyDescent="0.3">
      <c r="A83" s="53" t="s">
        <v>331</v>
      </c>
      <c r="B83" s="58" t="s">
        <v>87</v>
      </c>
      <c r="C83" s="58">
        <v>36</v>
      </c>
      <c r="D83" s="65">
        <v>44706</v>
      </c>
      <c r="F83" s="58" t="s">
        <v>39</v>
      </c>
      <c r="G83" s="58">
        <v>36</v>
      </c>
      <c r="H83" s="58" t="s">
        <v>38</v>
      </c>
      <c r="I83" s="58" t="s">
        <v>150</v>
      </c>
      <c r="J83" s="58" t="s">
        <v>41</v>
      </c>
      <c r="K83" s="58"/>
      <c r="L83" s="58" t="s">
        <v>38</v>
      </c>
      <c r="M83" s="58" t="s">
        <v>150</v>
      </c>
      <c r="N83" s="58" t="s">
        <v>38</v>
      </c>
      <c r="O83" s="58" t="s">
        <v>150</v>
      </c>
      <c r="P83" s="58" t="s">
        <v>41</v>
      </c>
      <c r="Q83" s="58"/>
      <c r="R83" s="58" t="s">
        <v>38</v>
      </c>
      <c r="S83" s="58" t="s">
        <v>132</v>
      </c>
      <c r="T83" s="58" t="s">
        <v>41</v>
      </c>
      <c r="U83" s="58"/>
      <c r="V83" s="58" t="s">
        <v>41</v>
      </c>
      <c r="W83" s="58"/>
      <c r="AD83" s="58" t="s">
        <v>72</v>
      </c>
      <c r="AE83" s="58" t="s">
        <v>337</v>
      </c>
      <c r="AF83" s="58">
        <v>58</v>
      </c>
      <c r="AG83" s="58">
        <v>1.61</v>
      </c>
      <c r="AH83" s="58">
        <v>22.375679950619187</v>
      </c>
      <c r="AI83" s="58" t="s">
        <v>68</v>
      </c>
      <c r="AJ83" s="53" t="s">
        <v>38</v>
      </c>
      <c r="AK83" s="53" t="s">
        <v>38</v>
      </c>
      <c r="AL83" s="53" t="s">
        <v>41</v>
      </c>
      <c r="AM83" s="53" t="s">
        <v>41</v>
      </c>
      <c r="AQ83" s="53" t="s">
        <v>38</v>
      </c>
      <c r="AR83" s="58">
        <v>7</v>
      </c>
      <c r="AS83" s="58">
        <v>2</v>
      </c>
    </row>
    <row r="84" spans="1:45" x14ac:dyDescent="0.3">
      <c r="A84" s="53" t="s">
        <v>333</v>
      </c>
      <c r="B84" s="58" t="s">
        <v>36</v>
      </c>
      <c r="C84" s="58">
        <v>56</v>
      </c>
      <c r="D84" s="65">
        <v>44707</v>
      </c>
      <c r="F84" s="58" t="s">
        <v>39</v>
      </c>
      <c r="G84" s="58">
        <v>36.200000000000003</v>
      </c>
      <c r="H84" s="58" t="s">
        <v>38</v>
      </c>
      <c r="I84" s="58" t="s">
        <v>150</v>
      </c>
      <c r="J84" s="58" t="s">
        <v>38</v>
      </c>
      <c r="K84" s="58" t="s">
        <v>228</v>
      </c>
      <c r="L84" s="58" t="s">
        <v>38</v>
      </c>
      <c r="M84" s="58" t="s">
        <v>336</v>
      </c>
      <c r="N84" s="58" t="s">
        <v>38</v>
      </c>
      <c r="O84" s="58" t="s">
        <v>50</v>
      </c>
      <c r="P84" s="58" t="s">
        <v>104</v>
      </c>
      <c r="Q84" s="58" t="s">
        <v>64</v>
      </c>
      <c r="R84" s="58" t="s">
        <v>38</v>
      </c>
      <c r="S84" s="58" t="s">
        <v>65</v>
      </c>
      <c r="T84" s="58" t="s">
        <v>41</v>
      </c>
      <c r="U84" s="58"/>
      <c r="V84" s="58" t="s">
        <v>41</v>
      </c>
      <c r="W84" s="58"/>
      <c r="AD84" s="58" t="s">
        <v>57</v>
      </c>
      <c r="AE84" s="58" t="s">
        <v>341</v>
      </c>
      <c r="AF84" s="58" t="s">
        <v>69</v>
      </c>
      <c r="AG84" s="58" t="e">
        <v>#VALUE!</v>
      </c>
      <c r="AH84" s="58" t="e">
        <v>#VALUE!</v>
      </c>
      <c r="AI84" s="58" t="s">
        <v>37</v>
      </c>
      <c r="AJ84" s="53" t="s">
        <v>41</v>
      </c>
      <c r="AK84" s="53" t="s">
        <v>41</v>
      </c>
      <c r="AL84" s="53" t="s">
        <v>38</v>
      </c>
      <c r="AM84" s="53" t="s">
        <v>41</v>
      </c>
      <c r="AN84" s="53" t="s">
        <v>41</v>
      </c>
      <c r="AQ84" s="53" t="s">
        <v>41</v>
      </c>
      <c r="AR84" s="58">
        <v>2</v>
      </c>
      <c r="AS84" s="58">
        <v>2</v>
      </c>
    </row>
    <row r="85" spans="1:45" x14ac:dyDescent="0.3">
      <c r="A85" s="53" t="s">
        <v>338</v>
      </c>
      <c r="B85" s="58" t="s">
        <v>36</v>
      </c>
      <c r="C85" s="58">
        <v>36</v>
      </c>
      <c r="D85" s="65">
        <v>44707</v>
      </c>
      <c r="F85" s="58" t="s">
        <v>39</v>
      </c>
      <c r="G85" s="58">
        <v>36.200000000000003</v>
      </c>
      <c r="H85" s="58" t="s">
        <v>38</v>
      </c>
      <c r="I85" s="58" t="s">
        <v>114</v>
      </c>
      <c r="J85" s="58" t="s">
        <v>38</v>
      </c>
      <c r="K85" s="58" t="s">
        <v>51</v>
      </c>
      <c r="L85" s="58" t="s">
        <v>38</v>
      </c>
      <c r="M85" s="58" t="s">
        <v>51</v>
      </c>
      <c r="N85" s="58" t="s">
        <v>38</v>
      </c>
      <c r="O85" s="58" t="s">
        <v>52</v>
      </c>
      <c r="P85" s="58" t="s">
        <v>41</v>
      </c>
      <c r="Q85" s="58"/>
      <c r="R85" s="58" t="s">
        <v>41</v>
      </c>
      <c r="S85" s="58"/>
      <c r="T85" s="58" t="s">
        <v>41</v>
      </c>
      <c r="U85" s="58"/>
      <c r="V85" s="58" t="s">
        <v>41</v>
      </c>
      <c r="W85" s="58"/>
      <c r="AD85" s="58" t="s">
        <v>72</v>
      </c>
      <c r="AE85" s="58" t="s">
        <v>344</v>
      </c>
      <c r="AF85" s="58">
        <v>55</v>
      </c>
      <c r="AG85" s="58">
        <v>1.71</v>
      </c>
      <c r="AH85" s="58">
        <v>18.809206251496189</v>
      </c>
      <c r="AI85" s="58" t="s">
        <v>37</v>
      </c>
      <c r="AJ85" s="53" t="s">
        <v>41</v>
      </c>
      <c r="AK85" s="53" t="s">
        <v>41</v>
      </c>
      <c r="AL85" s="53" t="s">
        <v>41</v>
      </c>
      <c r="AM85" s="53" t="s">
        <v>38</v>
      </c>
      <c r="AN85" s="53" t="s">
        <v>41</v>
      </c>
      <c r="AQ85" s="53" t="s">
        <v>41</v>
      </c>
      <c r="AR85" s="58">
        <v>2</v>
      </c>
      <c r="AS85" s="58">
        <v>2</v>
      </c>
    </row>
    <row r="86" spans="1:45" x14ac:dyDescent="0.3">
      <c r="A86" s="53" t="s">
        <v>342</v>
      </c>
      <c r="B86" s="58" t="s">
        <v>36</v>
      </c>
      <c r="C86" s="58">
        <v>23</v>
      </c>
      <c r="D86" s="65">
        <v>44711</v>
      </c>
      <c r="F86" s="58" t="s">
        <v>39</v>
      </c>
      <c r="G86" s="58">
        <v>36</v>
      </c>
      <c r="H86" s="58" t="s">
        <v>38</v>
      </c>
      <c r="I86" s="58" t="s">
        <v>50</v>
      </c>
      <c r="J86" s="58" t="s">
        <v>38</v>
      </c>
      <c r="K86" s="58" t="s">
        <v>51</v>
      </c>
      <c r="L86" s="58" t="s">
        <v>38</v>
      </c>
      <c r="M86" s="58" t="s">
        <v>53</v>
      </c>
      <c r="N86" s="58" t="s">
        <v>41</v>
      </c>
      <c r="O86" s="58"/>
      <c r="P86" s="58" t="s">
        <v>38</v>
      </c>
      <c r="Q86" s="58" t="s">
        <v>53</v>
      </c>
      <c r="R86" s="58" t="s">
        <v>41</v>
      </c>
      <c r="S86" s="58"/>
      <c r="T86" s="58" t="s">
        <v>41</v>
      </c>
      <c r="U86" s="58"/>
      <c r="V86" s="58" t="s">
        <v>41</v>
      </c>
      <c r="W86" s="58"/>
      <c r="AD86" s="58" t="s">
        <v>45</v>
      </c>
      <c r="AE86" s="58" t="s">
        <v>220</v>
      </c>
      <c r="AF86" s="58">
        <v>68</v>
      </c>
      <c r="AG86" s="58">
        <v>1.64</v>
      </c>
      <c r="AH86" s="58">
        <v>25.282569898869724</v>
      </c>
      <c r="AI86" s="58" t="s">
        <v>68</v>
      </c>
      <c r="AJ86" s="53" t="s">
        <v>41</v>
      </c>
      <c r="AK86" s="53" t="s">
        <v>41</v>
      </c>
      <c r="AL86" s="53" t="s">
        <v>41</v>
      </c>
      <c r="AM86" s="53" t="s">
        <v>41</v>
      </c>
      <c r="AN86" s="53" t="s">
        <v>41</v>
      </c>
      <c r="AQ86" s="53" t="s">
        <v>41</v>
      </c>
      <c r="AR86" s="58">
        <v>2</v>
      </c>
      <c r="AS86" s="58">
        <v>1</v>
      </c>
    </row>
    <row r="87" spans="1:45" x14ac:dyDescent="0.3">
      <c r="A87" s="53" t="s">
        <v>345</v>
      </c>
      <c r="B87" s="58" t="s">
        <v>36</v>
      </c>
      <c r="C87" s="58">
        <v>28</v>
      </c>
      <c r="D87" s="68">
        <v>44718</v>
      </c>
      <c r="F87" s="58" t="s">
        <v>39</v>
      </c>
      <c r="G87" s="58">
        <v>37</v>
      </c>
      <c r="H87" s="58" t="s">
        <v>38</v>
      </c>
      <c r="I87" s="58" t="s">
        <v>110</v>
      </c>
      <c r="J87" s="58" t="s">
        <v>38</v>
      </c>
      <c r="K87" s="58" t="s">
        <v>43</v>
      </c>
      <c r="L87" s="58" t="s">
        <v>38</v>
      </c>
      <c r="M87" s="58" t="s">
        <v>43</v>
      </c>
      <c r="N87" s="58" t="s">
        <v>38</v>
      </c>
      <c r="O87" s="58" t="s">
        <v>53</v>
      </c>
      <c r="P87" s="58" t="s">
        <v>38</v>
      </c>
      <c r="Q87" s="58" t="s">
        <v>43</v>
      </c>
      <c r="R87" s="58" t="s">
        <v>38</v>
      </c>
      <c r="S87" s="58" t="s">
        <v>43</v>
      </c>
      <c r="T87" s="58" t="s">
        <v>41</v>
      </c>
      <c r="U87" s="58"/>
      <c r="V87" s="58" t="s">
        <v>41</v>
      </c>
      <c r="W87" s="58"/>
      <c r="AD87" s="58" t="s">
        <v>99</v>
      </c>
      <c r="AE87" s="58" t="s">
        <v>290</v>
      </c>
      <c r="AF87" s="58">
        <v>52</v>
      </c>
      <c r="AG87" s="58">
        <v>1.68</v>
      </c>
      <c r="AH87" s="58">
        <v>18.424036281179141</v>
      </c>
      <c r="AI87" s="58" t="s">
        <v>68</v>
      </c>
      <c r="AJ87" s="53" t="s">
        <v>41</v>
      </c>
      <c r="AK87" s="53" t="s">
        <v>41</v>
      </c>
      <c r="AL87" s="53" t="s">
        <v>38</v>
      </c>
      <c r="AM87" s="53" t="s">
        <v>38</v>
      </c>
      <c r="AN87" s="53" t="s">
        <v>41</v>
      </c>
      <c r="AQ87" s="53" t="s">
        <v>41</v>
      </c>
      <c r="AR87" s="58">
        <v>3</v>
      </c>
      <c r="AS87" s="58">
        <v>2</v>
      </c>
    </row>
    <row r="88" spans="1:45" x14ac:dyDescent="0.3">
      <c r="A88" s="53" t="s">
        <v>347</v>
      </c>
      <c r="B88" s="58" t="s">
        <v>36</v>
      </c>
      <c r="C88" s="58">
        <v>52</v>
      </c>
      <c r="D88" s="69">
        <v>44718</v>
      </c>
      <c r="F88" s="58" t="s">
        <v>39</v>
      </c>
      <c r="G88" s="58" t="s">
        <v>69</v>
      </c>
      <c r="H88" s="58" t="s">
        <v>38</v>
      </c>
      <c r="I88" s="58" t="s">
        <v>336</v>
      </c>
      <c r="J88" s="58" t="s">
        <v>41</v>
      </c>
      <c r="K88" s="58"/>
      <c r="L88" s="58" t="s">
        <v>38</v>
      </c>
      <c r="M88" s="58" t="s">
        <v>132</v>
      </c>
      <c r="N88" s="58" t="s">
        <v>38</v>
      </c>
      <c r="O88" s="58" t="s">
        <v>65</v>
      </c>
      <c r="P88" s="58" t="s">
        <v>38</v>
      </c>
      <c r="Q88" s="58" t="s">
        <v>43</v>
      </c>
      <c r="R88" s="58" t="s">
        <v>41</v>
      </c>
      <c r="S88" s="58"/>
      <c r="T88" s="58" t="s">
        <v>41</v>
      </c>
      <c r="U88" s="58"/>
      <c r="V88" s="58" t="s">
        <v>41</v>
      </c>
      <c r="W88" s="58"/>
      <c r="AD88" s="58" t="s">
        <v>72</v>
      </c>
      <c r="AE88" s="58" t="s">
        <v>316</v>
      </c>
      <c r="AF88" s="58">
        <v>48</v>
      </c>
      <c r="AG88" s="58" t="e">
        <v>#VALUE!</v>
      </c>
      <c r="AH88" s="58" t="e">
        <v>#VALUE!</v>
      </c>
      <c r="AI88" s="58" t="s">
        <v>69</v>
      </c>
      <c r="AJ88" s="53" t="s">
        <v>41</v>
      </c>
      <c r="AK88" s="53" t="s">
        <v>41</v>
      </c>
      <c r="AL88" s="53" t="s">
        <v>41</v>
      </c>
      <c r="AM88" s="53" t="s">
        <v>41</v>
      </c>
      <c r="AN88" s="53" t="s">
        <v>38</v>
      </c>
      <c r="AO88" s="53">
        <v>2018</v>
      </c>
      <c r="AP88" s="53" t="s">
        <v>313</v>
      </c>
      <c r="AQ88" s="53" t="s">
        <v>41</v>
      </c>
      <c r="AR88" s="58">
        <v>3</v>
      </c>
      <c r="AS88" s="58">
        <v>1</v>
      </c>
    </row>
    <row r="89" spans="1:45" x14ac:dyDescent="0.3">
      <c r="A89" s="53" t="s">
        <v>350</v>
      </c>
      <c r="B89" s="58" t="s">
        <v>36</v>
      </c>
      <c r="C89" s="58">
        <v>35</v>
      </c>
      <c r="D89" s="58"/>
      <c r="F89" s="58" t="s">
        <v>39</v>
      </c>
      <c r="G89" s="58">
        <v>36.200000000000003</v>
      </c>
      <c r="H89" s="58" t="s">
        <v>38</v>
      </c>
      <c r="I89" s="58" t="s">
        <v>110</v>
      </c>
      <c r="J89" s="58" t="s">
        <v>38</v>
      </c>
      <c r="K89" s="58" t="s">
        <v>110</v>
      </c>
      <c r="L89" s="58" t="s">
        <v>38</v>
      </c>
      <c r="M89" s="58" t="s">
        <v>110</v>
      </c>
      <c r="N89" s="58" t="s">
        <v>38</v>
      </c>
      <c r="O89" s="58" t="s">
        <v>51</v>
      </c>
      <c r="P89" s="58" t="s">
        <v>38</v>
      </c>
      <c r="Q89" s="58" t="s">
        <v>43</v>
      </c>
      <c r="R89" s="58" t="s">
        <v>38</v>
      </c>
      <c r="S89" s="58" t="s">
        <v>43</v>
      </c>
      <c r="T89" s="58" t="s">
        <v>41</v>
      </c>
      <c r="U89" s="58"/>
      <c r="V89" s="58" t="s">
        <v>41</v>
      </c>
      <c r="W89" s="58"/>
      <c r="AD89" s="58" t="s">
        <v>172</v>
      </c>
      <c r="AE89" s="58" t="s">
        <v>94</v>
      </c>
      <c r="AF89" s="58" t="s">
        <v>69</v>
      </c>
      <c r="AG89" s="58" t="e">
        <v>#VALUE!</v>
      </c>
      <c r="AH89" s="58" t="e">
        <v>#VALUE!</v>
      </c>
      <c r="AI89" s="58" t="s">
        <v>68</v>
      </c>
      <c r="AJ89" s="53" t="s">
        <v>41</v>
      </c>
      <c r="AK89" s="53" t="s">
        <v>41</v>
      </c>
      <c r="AL89" s="53" t="s">
        <v>38</v>
      </c>
      <c r="AM89" s="53" t="s">
        <v>41</v>
      </c>
      <c r="AN89" s="53" t="s">
        <v>41</v>
      </c>
      <c r="AQ89" s="53" t="s">
        <v>41</v>
      </c>
      <c r="AR89" s="58">
        <v>3</v>
      </c>
      <c r="AS89" s="58">
        <v>2</v>
      </c>
    </row>
    <row r="90" spans="1:45" x14ac:dyDescent="0.3">
      <c r="A90" s="53" t="s">
        <v>883</v>
      </c>
      <c r="B90" s="58" t="s">
        <v>36</v>
      </c>
      <c r="C90" s="58">
        <v>36</v>
      </c>
      <c r="D90" s="65">
        <v>44949</v>
      </c>
      <c r="F90" s="58" t="s">
        <v>39</v>
      </c>
      <c r="G90" s="58">
        <v>38</v>
      </c>
      <c r="H90" s="58" t="s">
        <v>38</v>
      </c>
      <c r="I90" s="58" t="s">
        <v>354</v>
      </c>
      <c r="J90" s="58" t="s">
        <v>38</v>
      </c>
      <c r="K90" s="58" t="s">
        <v>354</v>
      </c>
      <c r="L90" s="58" t="s">
        <v>38</v>
      </c>
      <c r="M90" s="58" t="s">
        <v>43</v>
      </c>
      <c r="N90" s="58" t="s">
        <v>38</v>
      </c>
      <c r="O90" s="58" t="s">
        <v>354</v>
      </c>
      <c r="P90" s="58" t="s">
        <v>41</v>
      </c>
      <c r="Q90" s="58"/>
      <c r="R90" s="58" t="s">
        <v>38</v>
      </c>
      <c r="S90" s="58" t="s">
        <v>354</v>
      </c>
      <c r="T90" s="58" t="s">
        <v>41</v>
      </c>
      <c r="U90" s="58"/>
      <c r="V90" s="58" t="s">
        <v>41</v>
      </c>
      <c r="W90" s="58"/>
      <c r="AD90" s="58" t="s">
        <v>172</v>
      </c>
      <c r="AE90" s="58" t="s">
        <v>105</v>
      </c>
      <c r="AF90" s="58">
        <v>81</v>
      </c>
      <c r="AG90" s="58">
        <v>1.82</v>
      </c>
      <c r="AH90" s="58">
        <v>24.453568409612362</v>
      </c>
      <c r="AI90" s="58" t="s">
        <v>68</v>
      </c>
      <c r="AJ90" s="53" t="s">
        <v>41</v>
      </c>
      <c r="AK90" s="53" t="s">
        <v>41</v>
      </c>
      <c r="AL90" s="53" t="s">
        <v>38</v>
      </c>
      <c r="AM90" s="53" t="s">
        <v>41</v>
      </c>
      <c r="AN90" s="53" t="s">
        <v>41</v>
      </c>
      <c r="AQ90" s="53" t="s">
        <v>41</v>
      </c>
      <c r="AR90" s="58">
        <v>2</v>
      </c>
      <c r="AS90" s="58">
        <v>1</v>
      </c>
    </row>
    <row r="91" spans="1:45" x14ac:dyDescent="0.3">
      <c r="A91" s="53" t="s">
        <v>884</v>
      </c>
      <c r="B91" s="58" t="s">
        <v>36</v>
      </c>
      <c r="C91" s="58">
        <v>24</v>
      </c>
      <c r="D91" s="63">
        <v>44944</v>
      </c>
      <c r="F91" s="58" t="s">
        <v>39</v>
      </c>
      <c r="G91" s="58">
        <v>36</v>
      </c>
      <c r="H91" s="58" t="s">
        <v>38</v>
      </c>
      <c r="I91" s="58" t="s">
        <v>43</v>
      </c>
      <c r="J91" s="58" t="s">
        <v>38</v>
      </c>
      <c r="K91" s="58" t="s">
        <v>43</v>
      </c>
      <c r="L91" s="58" t="s">
        <v>38</v>
      </c>
      <c r="M91" s="58" t="s">
        <v>43</v>
      </c>
      <c r="N91" s="58" t="s">
        <v>38</v>
      </c>
      <c r="O91" s="58" t="s">
        <v>43</v>
      </c>
      <c r="P91" s="58" t="s">
        <v>41</v>
      </c>
      <c r="Q91" s="58"/>
      <c r="R91" s="58" t="s">
        <v>38</v>
      </c>
      <c r="S91" s="58" t="s">
        <v>43</v>
      </c>
      <c r="T91" s="58" t="s">
        <v>41</v>
      </c>
      <c r="U91" s="58"/>
      <c r="V91" s="58" t="s">
        <v>41</v>
      </c>
      <c r="W91" s="58"/>
      <c r="AD91" s="58" t="s">
        <v>57</v>
      </c>
      <c r="AE91" s="58" t="s">
        <v>240</v>
      </c>
      <c r="AF91" s="58">
        <v>59</v>
      </c>
      <c r="AG91" s="58">
        <v>1.7</v>
      </c>
      <c r="AH91" s="58">
        <v>20.415224913494811</v>
      </c>
      <c r="AI91" s="58" t="s">
        <v>68</v>
      </c>
      <c r="AJ91" s="53" t="s">
        <v>41</v>
      </c>
      <c r="AK91" s="53" t="s">
        <v>41</v>
      </c>
      <c r="AL91" s="53" t="s">
        <v>41</v>
      </c>
      <c r="AM91" s="53" t="s">
        <v>41</v>
      </c>
      <c r="AN91" s="53" t="s">
        <v>41</v>
      </c>
      <c r="AQ91" s="53" t="s">
        <v>41</v>
      </c>
      <c r="AR91" s="58">
        <v>2</v>
      </c>
      <c r="AS91" s="58">
        <v>1</v>
      </c>
    </row>
    <row r="92" spans="1:45" x14ac:dyDescent="0.3">
      <c r="A92" s="53" t="s">
        <v>885</v>
      </c>
      <c r="B92" s="58" t="s">
        <v>36</v>
      </c>
      <c r="C92" s="58">
        <v>37</v>
      </c>
      <c r="D92" s="63">
        <v>44881</v>
      </c>
      <c r="F92" s="58" t="s">
        <v>359</v>
      </c>
      <c r="G92" s="58">
        <v>36</v>
      </c>
      <c r="H92" s="58" t="s">
        <v>38</v>
      </c>
      <c r="I92" s="58" t="s">
        <v>65</v>
      </c>
      <c r="J92" s="58" t="s">
        <v>38</v>
      </c>
      <c r="K92" s="58" t="s">
        <v>65</v>
      </c>
      <c r="L92" s="58" t="s">
        <v>38</v>
      </c>
      <c r="M92" s="58" t="s">
        <v>65</v>
      </c>
      <c r="N92" s="58" t="s">
        <v>38</v>
      </c>
      <c r="O92" s="58" t="s">
        <v>65</v>
      </c>
      <c r="P92" s="58" t="s">
        <v>38</v>
      </c>
      <c r="Q92" s="58" t="s">
        <v>78</v>
      </c>
      <c r="R92" s="58" t="s">
        <v>38</v>
      </c>
      <c r="S92" s="58" t="s">
        <v>65</v>
      </c>
      <c r="T92" s="58" t="s">
        <v>38</v>
      </c>
      <c r="U92" s="58" t="s">
        <v>50</v>
      </c>
      <c r="V92" s="58" t="s">
        <v>294</v>
      </c>
      <c r="W92" s="58"/>
      <c r="AD92" s="58" t="s">
        <v>57</v>
      </c>
      <c r="AE92" s="58" t="s">
        <v>295</v>
      </c>
      <c r="AF92" s="58">
        <v>55</v>
      </c>
      <c r="AG92" s="58">
        <v>1.75</v>
      </c>
      <c r="AH92" s="58">
        <v>17.959183673469386</v>
      </c>
      <c r="AI92" s="58" t="s">
        <v>68</v>
      </c>
      <c r="AJ92" s="53" t="s">
        <v>41</v>
      </c>
      <c r="AK92" s="53" t="s">
        <v>41</v>
      </c>
      <c r="AL92" s="53" t="s">
        <v>38</v>
      </c>
      <c r="AM92" s="53" t="s">
        <v>41</v>
      </c>
      <c r="AN92" s="53" t="s">
        <v>41</v>
      </c>
      <c r="AQ92" s="53" t="s">
        <v>41</v>
      </c>
      <c r="AR92" s="58">
        <v>2</v>
      </c>
      <c r="AS92" s="58">
        <v>3</v>
      </c>
    </row>
    <row r="93" spans="1:45" x14ac:dyDescent="0.3">
      <c r="A93" s="53" t="s">
        <v>886</v>
      </c>
      <c r="B93" s="58" t="s">
        <v>36</v>
      </c>
      <c r="C93" s="58">
        <v>28</v>
      </c>
      <c r="D93" s="63">
        <v>44875</v>
      </c>
      <c r="E93" s="53" t="s">
        <v>961</v>
      </c>
      <c r="F93" s="58" t="s">
        <v>359</v>
      </c>
      <c r="G93" s="58">
        <v>37</v>
      </c>
      <c r="H93" s="58" t="s">
        <v>38</v>
      </c>
      <c r="I93" s="58" t="s">
        <v>50</v>
      </c>
      <c r="J93" s="58" t="s">
        <v>38</v>
      </c>
      <c r="K93" s="58" t="s">
        <v>50</v>
      </c>
      <c r="L93" s="58" t="s">
        <v>38</v>
      </c>
      <c r="M93" s="58" t="s">
        <v>50</v>
      </c>
      <c r="N93" s="58" t="s">
        <v>38</v>
      </c>
      <c r="O93" s="58" t="s">
        <v>50</v>
      </c>
      <c r="P93" s="58" t="s">
        <v>41</v>
      </c>
      <c r="Q93" s="58"/>
      <c r="R93" s="58" t="s">
        <v>38</v>
      </c>
      <c r="S93" s="58" t="s">
        <v>50</v>
      </c>
      <c r="T93" s="58" t="s">
        <v>41</v>
      </c>
      <c r="U93" s="58"/>
      <c r="V93" s="58" t="s">
        <v>41</v>
      </c>
      <c r="W93" s="58"/>
      <c r="AD93" s="58" t="s">
        <v>72</v>
      </c>
      <c r="AE93" s="58" t="s">
        <v>364</v>
      </c>
      <c r="AF93" s="58">
        <v>62</v>
      </c>
      <c r="AG93" s="58">
        <v>1.68</v>
      </c>
      <c r="AH93" s="58">
        <v>21.9671201814059</v>
      </c>
      <c r="AI93" s="58" t="s">
        <v>37</v>
      </c>
      <c r="AJ93" s="53" t="s">
        <v>41</v>
      </c>
      <c r="AK93" s="53" t="s">
        <v>41</v>
      </c>
      <c r="AL93" s="53" t="s">
        <v>41</v>
      </c>
      <c r="AM93" s="53" t="s">
        <v>38</v>
      </c>
      <c r="AN93" s="53" t="s">
        <v>41</v>
      </c>
      <c r="AQ93" s="53" t="s">
        <v>41</v>
      </c>
      <c r="AR93" s="58">
        <v>1</v>
      </c>
      <c r="AS93" s="58">
        <v>1</v>
      </c>
    </row>
    <row r="94" spans="1:45" x14ac:dyDescent="0.3">
      <c r="A94" s="53" t="s">
        <v>887</v>
      </c>
      <c r="B94" s="58" t="s">
        <v>36</v>
      </c>
      <c r="C94" s="58">
        <v>40</v>
      </c>
      <c r="D94" s="63">
        <v>44874</v>
      </c>
      <c r="E94" s="53" t="s">
        <v>961</v>
      </c>
      <c r="F94" s="58" t="s">
        <v>359</v>
      </c>
      <c r="G94" s="58">
        <v>38</v>
      </c>
      <c r="H94" s="58" t="s">
        <v>38</v>
      </c>
      <c r="I94" s="58" t="s">
        <v>65</v>
      </c>
      <c r="J94" s="58" t="s">
        <v>38</v>
      </c>
      <c r="K94" s="58" t="s">
        <v>65</v>
      </c>
      <c r="L94" s="58" t="s">
        <v>38</v>
      </c>
      <c r="M94" s="58" t="s">
        <v>65</v>
      </c>
      <c r="N94" s="58" t="s">
        <v>38</v>
      </c>
      <c r="O94" s="58" t="s">
        <v>65</v>
      </c>
      <c r="P94" s="58" t="s">
        <v>38</v>
      </c>
      <c r="Q94" s="58" t="s">
        <v>51</v>
      </c>
      <c r="R94" s="58" t="s">
        <v>38</v>
      </c>
      <c r="S94" s="58" t="s">
        <v>51</v>
      </c>
      <c r="T94" s="58" t="s">
        <v>38</v>
      </c>
      <c r="U94" s="58" t="s">
        <v>53</v>
      </c>
      <c r="V94" s="58" t="s">
        <v>294</v>
      </c>
      <c r="W94" s="58"/>
      <c r="AD94" s="58" t="s">
        <v>172</v>
      </c>
      <c r="AE94" s="58" t="s">
        <v>69</v>
      </c>
      <c r="AF94" s="58">
        <v>46</v>
      </c>
      <c r="AG94" s="58">
        <v>1.56</v>
      </c>
      <c r="AH94" s="58">
        <v>18.902038132807363</v>
      </c>
      <c r="AI94" s="58" t="s">
        <v>68</v>
      </c>
      <c r="AJ94" s="53" t="s">
        <v>41</v>
      </c>
      <c r="AK94" s="53" t="s">
        <v>41</v>
      </c>
      <c r="AL94" s="53" t="s">
        <v>41</v>
      </c>
      <c r="AM94" s="53" t="s">
        <v>41</v>
      </c>
      <c r="AN94" s="53" t="s">
        <v>41</v>
      </c>
      <c r="AQ94" s="53" t="s">
        <v>41</v>
      </c>
      <c r="AR94" s="58">
        <v>1</v>
      </c>
      <c r="AS94" s="58">
        <v>1</v>
      </c>
    </row>
    <row r="95" spans="1:45" x14ac:dyDescent="0.3">
      <c r="A95" s="53" t="s">
        <v>888</v>
      </c>
      <c r="B95" s="58" t="s">
        <v>36</v>
      </c>
      <c r="C95" s="58">
        <v>78</v>
      </c>
      <c r="D95" s="63">
        <v>44873</v>
      </c>
      <c r="E95" s="53" t="s">
        <v>964</v>
      </c>
      <c r="F95" s="58" t="s">
        <v>359</v>
      </c>
      <c r="G95" s="58">
        <v>37</v>
      </c>
      <c r="H95" s="58" t="s">
        <v>38</v>
      </c>
      <c r="I95" s="58" t="s">
        <v>150</v>
      </c>
      <c r="J95" s="58" t="s">
        <v>38</v>
      </c>
      <c r="K95" s="58" t="s">
        <v>150</v>
      </c>
      <c r="L95" s="58" t="s">
        <v>38</v>
      </c>
      <c r="M95" s="58" t="s">
        <v>150</v>
      </c>
      <c r="N95" s="58" t="s">
        <v>38</v>
      </c>
      <c r="O95" s="58" t="s">
        <v>150</v>
      </c>
      <c r="P95" s="58" t="s">
        <v>41</v>
      </c>
      <c r="Q95" s="58"/>
      <c r="R95" s="58" t="s">
        <v>38</v>
      </c>
      <c r="S95" s="58" t="s">
        <v>150</v>
      </c>
      <c r="T95" s="58" t="s">
        <v>41</v>
      </c>
      <c r="U95" s="58"/>
      <c r="V95" s="58" t="s">
        <v>41</v>
      </c>
      <c r="W95" s="58"/>
      <c r="X95" s="53" t="s">
        <v>964</v>
      </c>
      <c r="AD95" s="58" t="s">
        <v>57</v>
      </c>
      <c r="AE95" s="58" t="s">
        <v>69</v>
      </c>
      <c r="AF95" s="58">
        <v>45</v>
      </c>
      <c r="AG95" s="58">
        <v>1.63</v>
      </c>
      <c r="AH95" s="58">
        <v>16.937031879257784</v>
      </c>
      <c r="AI95" s="58" t="s">
        <v>68</v>
      </c>
      <c r="AJ95" s="53" t="s">
        <v>41</v>
      </c>
      <c r="AK95" s="53" t="s">
        <v>41</v>
      </c>
      <c r="AL95" s="53" t="s">
        <v>41</v>
      </c>
      <c r="AM95" s="53" t="s">
        <v>41</v>
      </c>
      <c r="AN95" s="53" t="s">
        <v>41</v>
      </c>
      <c r="AQ95" s="53" t="s">
        <v>41</v>
      </c>
      <c r="AR95" s="58">
        <v>2</v>
      </c>
      <c r="AS95" s="58">
        <v>4</v>
      </c>
    </row>
    <row r="96" spans="1:45" x14ac:dyDescent="0.3">
      <c r="A96" s="53" t="s">
        <v>889</v>
      </c>
      <c r="B96" s="58" t="s">
        <v>36</v>
      </c>
      <c r="C96" s="58">
        <v>44</v>
      </c>
      <c r="D96" s="70">
        <v>44859</v>
      </c>
      <c r="E96" s="53" t="s">
        <v>961</v>
      </c>
      <c r="F96" s="58" t="s">
        <v>359</v>
      </c>
      <c r="G96" s="58">
        <v>38</v>
      </c>
      <c r="H96" s="58" t="s">
        <v>38</v>
      </c>
      <c r="I96" s="58" t="s">
        <v>65</v>
      </c>
      <c r="J96" s="58" t="s">
        <v>38</v>
      </c>
      <c r="K96" s="58" t="s">
        <v>65</v>
      </c>
      <c r="L96" s="58" t="s">
        <v>38</v>
      </c>
      <c r="M96" s="58" t="s">
        <v>65</v>
      </c>
      <c r="N96" s="58" t="s">
        <v>38</v>
      </c>
      <c r="O96" s="58" t="s">
        <v>65</v>
      </c>
      <c r="P96" s="58" t="s">
        <v>41</v>
      </c>
      <c r="Q96" s="58"/>
      <c r="R96" s="58" t="s">
        <v>38</v>
      </c>
      <c r="S96" s="58" t="s">
        <v>65</v>
      </c>
      <c r="T96" s="58" t="s">
        <v>41</v>
      </c>
      <c r="U96" s="58"/>
      <c r="V96" s="58" t="s">
        <v>41</v>
      </c>
      <c r="W96" s="58"/>
      <c r="AD96" s="58" t="s">
        <v>72</v>
      </c>
      <c r="AE96" s="58" t="s">
        <v>79</v>
      </c>
      <c r="AF96" s="58">
        <v>44</v>
      </c>
      <c r="AG96" s="58">
        <v>1.66</v>
      </c>
      <c r="AH96" s="58">
        <v>15.967484395412978</v>
      </c>
      <c r="AI96" s="58" t="s">
        <v>68</v>
      </c>
      <c r="AJ96" s="53" t="s">
        <v>41</v>
      </c>
      <c r="AK96" s="53" t="s">
        <v>41</v>
      </c>
      <c r="AL96" s="53" t="s">
        <v>41</v>
      </c>
      <c r="AM96" s="53" t="s">
        <v>41</v>
      </c>
      <c r="AN96" s="53" t="s">
        <v>41</v>
      </c>
      <c r="AQ96" s="53" t="s">
        <v>41</v>
      </c>
      <c r="AR96" s="58">
        <v>1</v>
      </c>
      <c r="AS96" s="58">
        <v>1</v>
      </c>
    </row>
    <row r="97" spans="1:45" x14ac:dyDescent="0.3">
      <c r="A97" s="53" t="s">
        <v>181</v>
      </c>
      <c r="B97" s="58" t="s">
        <v>36</v>
      </c>
      <c r="C97" s="58">
        <v>22</v>
      </c>
      <c r="D97" s="61">
        <v>44601</v>
      </c>
      <c r="F97" s="58" t="s">
        <v>182</v>
      </c>
      <c r="G97" s="58">
        <v>36.299999999999997</v>
      </c>
      <c r="H97" s="58" t="s">
        <v>38</v>
      </c>
      <c r="I97" s="58" t="s">
        <v>183</v>
      </c>
      <c r="J97" s="58" t="s">
        <v>38</v>
      </c>
      <c r="K97" s="58" t="s">
        <v>184</v>
      </c>
      <c r="L97" s="58" t="s">
        <v>38</v>
      </c>
      <c r="M97" s="58" t="s">
        <v>185</v>
      </c>
      <c r="N97" s="58" t="s">
        <v>38</v>
      </c>
      <c r="O97" s="58" t="s">
        <v>184</v>
      </c>
      <c r="P97" s="58" t="s">
        <v>41</v>
      </c>
      <c r="Q97" s="58"/>
      <c r="R97" s="58" t="s">
        <v>41</v>
      </c>
      <c r="S97" s="58"/>
      <c r="T97" s="58" t="s">
        <v>41</v>
      </c>
      <c r="U97" s="58"/>
      <c r="V97" s="58"/>
      <c r="W97" s="58"/>
      <c r="AD97" s="58" t="s">
        <v>57</v>
      </c>
      <c r="AE97" s="58" t="s">
        <v>374</v>
      </c>
      <c r="AF97" s="58">
        <v>60</v>
      </c>
      <c r="AG97" s="58">
        <v>1.22</v>
      </c>
      <c r="AH97" s="58">
        <v>40.311744154797097</v>
      </c>
      <c r="AI97" s="58" t="s">
        <v>68</v>
      </c>
      <c r="AJ97" s="53" t="s">
        <v>38</v>
      </c>
      <c r="AK97" s="53" t="s">
        <v>41</v>
      </c>
      <c r="AL97" s="53" t="s">
        <v>41</v>
      </c>
      <c r="AN97" s="53" t="s">
        <v>41</v>
      </c>
      <c r="AR97" s="58">
        <v>3</v>
      </c>
      <c r="AS97" s="58">
        <v>1</v>
      </c>
    </row>
    <row r="98" spans="1:45" x14ac:dyDescent="0.3">
      <c r="A98" s="53" t="s">
        <v>890</v>
      </c>
      <c r="B98" s="58" t="s">
        <v>36</v>
      </c>
      <c r="C98" s="58">
        <v>25</v>
      </c>
      <c r="D98" s="65">
        <v>44851</v>
      </c>
      <c r="E98" s="53" t="s">
        <v>961</v>
      </c>
      <c r="F98" s="58" t="s">
        <v>359</v>
      </c>
      <c r="G98" s="58">
        <v>36</v>
      </c>
      <c r="H98" s="58" t="s">
        <v>38</v>
      </c>
      <c r="I98" s="58" t="s">
        <v>114</v>
      </c>
      <c r="J98" s="58" t="s">
        <v>38</v>
      </c>
      <c r="K98" s="58" t="s">
        <v>114</v>
      </c>
      <c r="L98" s="58" t="s">
        <v>38</v>
      </c>
      <c r="M98" s="58" t="s">
        <v>114</v>
      </c>
      <c r="N98" s="58" t="s">
        <v>38</v>
      </c>
      <c r="O98" s="58" t="s">
        <v>114</v>
      </c>
      <c r="P98" s="58" t="s">
        <v>41</v>
      </c>
      <c r="Q98" s="58"/>
      <c r="R98" s="58" t="s">
        <v>38</v>
      </c>
      <c r="S98" s="58" t="s">
        <v>114</v>
      </c>
      <c r="T98" s="58" t="s">
        <v>41</v>
      </c>
      <c r="U98" s="58"/>
      <c r="V98" s="58" t="s">
        <v>41</v>
      </c>
      <c r="W98" s="58"/>
      <c r="AD98" s="58" t="s">
        <v>72</v>
      </c>
      <c r="AE98" s="58" t="s">
        <v>214</v>
      </c>
      <c r="AF98" s="58">
        <v>45</v>
      </c>
      <c r="AG98" s="58">
        <v>1.59</v>
      </c>
      <c r="AH98" s="58">
        <v>17.799928800284796</v>
      </c>
      <c r="AI98" s="58" t="s">
        <v>68</v>
      </c>
      <c r="AJ98" s="53" t="s">
        <v>41</v>
      </c>
      <c r="AK98" s="53" t="s">
        <v>41</v>
      </c>
      <c r="AL98" s="53" t="s">
        <v>41</v>
      </c>
      <c r="AM98" s="53" t="s">
        <v>38</v>
      </c>
      <c r="AN98" s="53" t="s">
        <v>41</v>
      </c>
      <c r="AQ98" s="53" t="s">
        <v>41</v>
      </c>
      <c r="AR98" s="58">
        <v>1</v>
      </c>
      <c r="AS98" s="58">
        <v>1</v>
      </c>
    </row>
    <row r="99" spans="1:45" x14ac:dyDescent="0.3">
      <c r="A99" s="53" t="s">
        <v>891</v>
      </c>
      <c r="B99" s="58" t="s">
        <v>36</v>
      </c>
      <c r="C99" s="58">
        <v>36</v>
      </c>
      <c r="D99" s="63">
        <v>44845</v>
      </c>
      <c r="E99" s="53" t="s">
        <v>961</v>
      </c>
      <c r="F99" s="58" t="s">
        <v>359</v>
      </c>
      <c r="G99" s="58">
        <v>36</v>
      </c>
      <c r="H99" s="58" t="s">
        <v>38</v>
      </c>
      <c r="I99" s="58" t="s">
        <v>378</v>
      </c>
      <c r="J99" s="58" t="s">
        <v>38</v>
      </c>
      <c r="K99" s="58" t="s">
        <v>378</v>
      </c>
      <c r="L99" s="58" t="s">
        <v>38</v>
      </c>
      <c r="M99" s="58" t="s">
        <v>378</v>
      </c>
      <c r="N99" s="58" t="s">
        <v>38</v>
      </c>
      <c r="O99" s="58" t="s">
        <v>378</v>
      </c>
      <c r="P99" s="58" t="s">
        <v>41</v>
      </c>
      <c r="Q99" s="58"/>
      <c r="R99" s="58" t="s">
        <v>38</v>
      </c>
      <c r="S99" s="58" t="s">
        <v>378</v>
      </c>
      <c r="T99" s="58" t="s">
        <v>41</v>
      </c>
      <c r="U99" s="58"/>
      <c r="V99" s="58" t="s">
        <v>371</v>
      </c>
      <c r="W99" s="58" t="s">
        <v>378</v>
      </c>
      <c r="AD99" s="58" t="s">
        <v>99</v>
      </c>
      <c r="AE99" s="58" t="s">
        <v>79</v>
      </c>
      <c r="AF99" s="58">
        <v>57</v>
      </c>
      <c r="AG99" s="58">
        <v>1.76</v>
      </c>
      <c r="AH99" s="58">
        <v>18.401342975206614</v>
      </c>
      <c r="AI99" s="58" t="s">
        <v>68</v>
      </c>
      <c r="AJ99" s="53" t="s">
        <v>41</v>
      </c>
      <c r="AK99" s="53" t="s">
        <v>41</v>
      </c>
      <c r="AL99" s="53" t="s">
        <v>41</v>
      </c>
      <c r="AM99" s="53" t="s">
        <v>38</v>
      </c>
      <c r="AN99" s="53" t="s">
        <v>41</v>
      </c>
      <c r="AQ99" s="53" t="s">
        <v>41</v>
      </c>
      <c r="AR99" s="58">
        <v>3</v>
      </c>
      <c r="AS99" s="58">
        <v>1</v>
      </c>
    </row>
    <row r="100" spans="1:45" x14ac:dyDescent="0.3">
      <c r="A100" s="53" t="s">
        <v>892</v>
      </c>
      <c r="B100" s="58" t="s">
        <v>36</v>
      </c>
      <c r="C100" s="58">
        <v>19</v>
      </c>
      <c r="D100" s="63">
        <v>44844</v>
      </c>
      <c r="E100" s="53" t="s">
        <v>961</v>
      </c>
      <c r="F100" s="58" t="s">
        <v>359</v>
      </c>
      <c r="G100" s="58">
        <v>37</v>
      </c>
      <c r="H100" s="58" t="s">
        <v>38</v>
      </c>
      <c r="I100" s="58" t="s">
        <v>43</v>
      </c>
      <c r="J100" s="58" t="s">
        <v>38</v>
      </c>
      <c r="K100" s="58" t="s">
        <v>43</v>
      </c>
      <c r="L100" s="58" t="s">
        <v>41</v>
      </c>
      <c r="M100" s="58"/>
      <c r="N100" s="58" t="s">
        <v>104</v>
      </c>
      <c r="O100" s="58" t="s">
        <v>43</v>
      </c>
      <c r="P100" s="58" t="s">
        <v>41</v>
      </c>
      <c r="Q100" s="58"/>
      <c r="R100" s="58" t="s">
        <v>41</v>
      </c>
      <c r="S100" s="58"/>
      <c r="T100" s="58" t="s">
        <v>41</v>
      </c>
      <c r="U100" s="58"/>
      <c r="V100" s="58" t="s">
        <v>381</v>
      </c>
      <c r="W100" s="58" t="s">
        <v>43</v>
      </c>
      <c r="X100" s="53" t="s">
        <v>961</v>
      </c>
      <c r="AD100" s="58" t="s">
        <v>72</v>
      </c>
      <c r="AE100" s="58" t="s">
        <v>384</v>
      </c>
      <c r="AF100" s="58">
        <v>53</v>
      </c>
      <c r="AG100" s="58">
        <v>1.69</v>
      </c>
      <c r="AH100" s="58">
        <v>18.556773222226116</v>
      </c>
      <c r="AI100" s="58" t="s">
        <v>68</v>
      </c>
      <c r="AJ100" s="53" t="s">
        <v>41</v>
      </c>
      <c r="AK100" s="53" t="s">
        <v>41</v>
      </c>
      <c r="AL100" s="53" t="s">
        <v>41</v>
      </c>
      <c r="AM100" s="53" t="s">
        <v>41</v>
      </c>
      <c r="AN100" s="53" t="s">
        <v>41</v>
      </c>
      <c r="AQ100" s="53" t="s">
        <v>41</v>
      </c>
      <c r="AR100" s="58">
        <v>2</v>
      </c>
      <c r="AS100" s="58">
        <v>1</v>
      </c>
    </row>
    <row r="101" spans="1:45" x14ac:dyDescent="0.3">
      <c r="A101" s="53" t="s">
        <v>893</v>
      </c>
      <c r="B101" s="58" t="s">
        <v>36</v>
      </c>
      <c r="C101" s="58">
        <v>26</v>
      </c>
      <c r="D101" s="65">
        <v>44832</v>
      </c>
      <c r="F101" s="58" t="s">
        <v>359</v>
      </c>
      <c r="G101" s="58">
        <v>39</v>
      </c>
      <c r="H101" s="58" t="s">
        <v>38</v>
      </c>
      <c r="I101" s="58" t="s">
        <v>50</v>
      </c>
      <c r="J101" s="58" t="s">
        <v>38</v>
      </c>
      <c r="K101" s="58" t="s">
        <v>50</v>
      </c>
      <c r="L101" s="58" t="s">
        <v>38</v>
      </c>
      <c r="M101" s="58" t="s">
        <v>50</v>
      </c>
      <c r="N101" s="58" t="s">
        <v>38</v>
      </c>
      <c r="O101" s="58" t="s">
        <v>50</v>
      </c>
      <c r="P101" s="58" t="s">
        <v>38</v>
      </c>
      <c r="Q101" s="58" t="s">
        <v>50</v>
      </c>
      <c r="R101" s="58" t="s">
        <v>38</v>
      </c>
      <c r="S101" s="58" t="s">
        <v>50</v>
      </c>
      <c r="T101" s="58" t="s">
        <v>41</v>
      </c>
      <c r="U101" s="58"/>
      <c r="V101" s="58" t="s">
        <v>41</v>
      </c>
      <c r="W101" s="58"/>
      <c r="AD101" s="58" t="s">
        <v>72</v>
      </c>
      <c r="AE101" s="58" t="s">
        <v>344</v>
      </c>
      <c r="AF101" s="58">
        <v>61</v>
      </c>
      <c r="AG101" s="58">
        <v>1.72</v>
      </c>
      <c r="AH101" s="58">
        <v>20.61925365062196</v>
      </c>
      <c r="AI101" s="58" t="s">
        <v>68</v>
      </c>
      <c r="AJ101" s="53" t="s">
        <v>41</v>
      </c>
      <c r="AK101" s="53" t="s">
        <v>41</v>
      </c>
      <c r="AL101" s="53" t="s">
        <v>41</v>
      </c>
      <c r="AM101" s="53" t="s">
        <v>41</v>
      </c>
      <c r="AN101" s="53" t="s">
        <v>41</v>
      </c>
      <c r="AQ101" s="53" t="s">
        <v>41</v>
      </c>
      <c r="AR101" s="58">
        <v>4</v>
      </c>
      <c r="AS101" s="58">
        <v>1</v>
      </c>
    </row>
    <row r="102" spans="1:45" x14ac:dyDescent="0.3">
      <c r="A102" s="53" t="s">
        <v>894</v>
      </c>
      <c r="B102" s="58" t="s">
        <v>36</v>
      </c>
      <c r="C102" s="58">
        <v>29</v>
      </c>
      <c r="D102" s="65">
        <v>44809</v>
      </c>
      <c r="E102" s="53" t="s">
        <v>961</v>
      </c>
      <c r="F102" s="58" t="s">
        <v>359</v>
      </c>
      <c r="G102" s="58">
        <v>37</v>
      </c>
      <c r="H102" s="58" t="s">
        <v>38</v>
      </c>
      <c r="I102" s="58" t="s">
        <v>387</v>
      </c>
      <c r="J102" s="58" t="s">
        <v>38</v>
      </c>
      <c r="K102" s="58" t="s">
        <v>387</v>
      </c>
      <c r="L102" s="58" t="s">
        <v>38</v>
      </c>
      <c r="M102" s="58" t="s">
        <v>387</v>
      </c>
      <c r="N102" s="58" t="s">
        <v>38</v>
      </c>
      <c r="O102" s="58" t="s">
        <v>387</v>
      </c>
      <c r="P102" s="58" t="s">
        <v>41</v>
      </c>
      <c r="Q102" s="58"/>
      <c r="R102" s="58" t="s">
        <v>38</v>
      </c>
      <c r="S102" s="58" t="s">
        <v>387</v>
      </c>
      <c r="T102" s="58" t="s">
        <v>38</v>
      </c>
      <c r="U102" s="58" t="s">
        <v>388</v>
      </c>
      <c r="V102" s="58" t="s">
        <v>41</v>
      </c>
      <c r="W102" s="58"/>
      <c r="X102" s="53" t="s">
        <v>964</v>
      </c>
      <c r="AD102" s="58" t="s">
        <v>61</v>
      </c>
      <c r="AE102" s="58" t="s">
        <v>69</v>
      </c>
      <c r="AF102" s="58">
        <v>62</v>
      </c>
      <c r="AG102" s="58">
        <v>1.86</v>
      </c>
      <c r="AH102" s="58">
        <v>17.921146953405014</v>
      </c>
      <c r="AI102" s="58" t="s">
        <v>68</v>
      </c>
      <c r="AJ102" s="53" t="s">
        <v>41</v>
      </c>
      <c r="AK102" s="53" t="s">
        <v>41</v>
      </c>
      <c r="AL102" s="53" t="s">
        <v>41</v>
      </c>
      <c r="AM102" s="53" t="s">
        <v>38</v>
      </c>
      <c r="AN102" s="53" t="s">
        <v>41</v>
      </c>
      <c r="AQ102" s="53" t="s">
        <v>41</v>
      </c>
      <c r="AR102" s="58">
        <v>1</v>
      </c>
      <c r="AS102" s="58">
        <v>2</v>
      </c>
    </row>
    <row r="103" spans="1:45" x14ac:dyDescent="0.3">
      <c r="A103" s="53" t="s">
        <v>895</v>
      </c>
      <c r="B103" s="58" t="s">
        <v>36</v>
      </c>
      <c r="C103" s="58">
        <v>44</v>
      </c>
      <c r="D103" s="63">
        <v>44804</v>
      </c>
      <c r="F103" s="58" t="s">
        <v>359</v>
      </c>
      <c r="G103" s="58">
        <v>38</v>
      </c>
      <c r="H103" s="58" t="s">
        <v>38</v>
      </c>
      <c r="I103" s="58" t="s">
        <v>43</v>
      </c>
      <c r="J103" s="58" t="s">
        <v>38</v>
      </c>
      <c r="K103" s="58" t="s">
        <v>43</v>
      </c>
      <c r="L103" s="58" t="s">
        <v>38</v>
      </c>
      <c r="M103" s="58" t="s">
        <v>65</v>
      </c>
      <c r="N103" s="58" t="s">
        <v>38</v>
      </c>
      <c r="O103" s="58" t="s">
        <v>43</v>
      </c>
      <c r="P103" s="58" t="s">
        <v>38</v>
      </c>
      <c r="Q103" s="58" t="s">
        <v>43</v>
      </c>
      <c r="R103" s="58" t="s">
        <v>38</v>
      </c>
      <c r="S103" s="58" t="s">
        <v>82</v>
      </c>
      <c r="T103" s="58" t="s">
        <v>41</v>
      </c>
      <c r="U103" s="58"/>
      <c r="V103" s="58" t="s">
        <v>41</v>
      </c>
      <c r="W103" s="58"/>
      <c r="AD103" s="58" t="s">
        <v>72</v>
      </c>
      <c r="AE103" s="58" t="s">
        <v>94</v>
      </c>
      <c r="AF103" s="58">
        <v>45</v>
      </c>
      <c r="AG103" s="58">
        <v>1.45</v>
      </c>
      <c r="AH103" s="58">
        <v>21.403091557669441</v>
      </c>
      <c r="AI103" s="58" t="s">
        <v>37</v>
      </c>
      <c r="AJ103" s="53" t="s">
        <v>41</v>
      </c>
      <c r="AK103" s="53" t="s">
        <v>41</v>
      </c>
      <c r="AL103" s="53" t="s">
        <v>41</v>
      </c>
      <c r="AM103" s="53" t="s">
        <v>38</v>
      </c>
      <c r="AN103" s="53" t="s">
        <v>41</v>
      </c>
      <c r="AQ103" s="53" t="s">
        <v>41</v>
      </c>
      <c r="AR103" s="58">
        <v>1</v>
      </c>
      <c r="AS103" s="58">
        <v>1</v>
      </c>
    </row>
    <row r="104" spans="1:45" x14ac:dyDescent="0.3">
      <c r="A104" s="53" t="s">
        <v>896</v>
      </c>
      <c r="B104" s="58" t="s">
        <v>36</v>
      </c>
      <c r="C104" s="58">
        <v>44</v>
      </c>
      <c r="D104" s="63">
        <v>44725</v>
      </c>
      <c r="F104" s="58" t="s">
        <v>359</v>
      </c>
      <c r="G104" s="58">
        <v>38</v>
      </c>
      <c r="H104" s="58" t="s">
        <v>38</v>
      </c>
      <c r="I104" s="58" t="s">
        <v>55</v>
      </c>
      <c r="J104" s="58" t="s">
        <v>38</v>
      </c>
      <c r="K104" s="58" t="s">
        <v>55</v>
      </c>
      <c r="L104" s="58" t="s">
        <v>38</v>
      </c>
      <c r="M104" s="58" t="s">
        <v>55</v>
      </c>
      <c r="N104" s="58" t="s">
        <v>38</v>
      </c>
      <c r="O104" s="58" t="s">
        <v>55</v>
      </c>
      <c r="P104" s="58" t="s">
        <v>38</v>
      </c>
      <c r="Q104" s="58" t="s">
        <v>55</v>
      </c>
      <c r="R104" s="58" t="s">
        <v>38</v>
      </c>
      <c r="S104" s="58" t="s">
        <v>55</v>
      </c>
      <c r="T104" s="58" t="s">
        <v>41</v>
      </c>
      <c r="U104" s="58"/>
      <c r="V104" s="58" t="s">
        <v>41</v>
      </c>
      <c r="W104" s="58"/>
      <c r="AD104" s="58" t="s">
        <v>99</v>
      </c>
      <c r="AE104" s="58" t="s">
        <v>344</v>
      </c>
      <c r="AF104" s="58">
        <v>58</v>
      </c>
      <c r="AG104" s="58">
        <v>1.68</v>
      </c>
      <c r="AH104" s="58">
        <v>20.549886621315196</v>
      </c>
      <c r="AI104" s="58" t="s">
        <v>68</v>
      </c>
      <c r="AJ104" s="53" t="s">
        <v>41</v>
      </c>
      <c r="AK104" s="53" t="s">
        <v>41</v>
      </c>
      <c r="AL104" s="53" t="s">
        <v>41</v>
      </c>
      <c r="AM104" s="53" t="s">
        <v>41</v>
      </c>
      <c r="AN104" s="53" t="s">
        <v>41</v>
      </c>
      <c r="AQ104" s="53" t="s">
        <v>41</v>
      </c>
      <c r="AR104" s="58">
        <v>4</v>
      </c>
      <c r="AS104" s="58">
        <v>2</v>
      </c>
    </row>
    <row r="105" spans="1:45" x14ac:dyDescent="0.3">
      <c r="A105" s="53" t="s">
        <v>897</v>
      </c>
      <c r="B105" s="58" t="s">
        <v>36</v>
      </c>
      <c r="C105" s="58">
        <v>45</v>
      </c>
      <c r="D105" s="63">
        <v>44725</v>
      </c>
      <c r="F105" s="58" t="s">
        <v>359</v>
      </c>
      <c r="G105" s="58">
        <v>37</v>
      </c>
      <c r="H105" s="58" t="s">
        <v>38</v>
      </c>
      <c r="I105" s="58" t="s">
        <v>110</v>
      </c>
      <c r="J105" s="58" t="s">
        <v>38</v>
      </c>
      <c r="K105" s="58" t="s">
        <v>110</v>
      </c>
      <c r="L105" s="58" t="s">
        <v>38</v>
      </c>
      <c r="M105" s="58" t="s">
        <v>110</v>
      </c>
      <c r="N105" s="58" t="s">
        <v>38</v>
      </c>
      <c r="O105" s="58" t="s">
        <v>110</v>
      </c>
      <c r="P105" s="58" t="s">
        <v>38</v>
      </c>
      <c r="Q105" s="58" t="s">
        <v>110</v>
      </c>
      <c r="R105" s="58" t="s">
        <v>38</v>
      </c>
      <c r="S105" s="58" t="s">
        <v>110</v>
      </c>
      <c r="T105" s="58" t="s">
        <v>38</v>
      </c>
      <c r="U105" s="58" t="s">
        <v>53</v>
      </c>
      <c r="V105" s="58" t="s">
        <v>41</v>
      </c>
      <c r="W105" s="58"/>
      <c r="AD105" s="58" t="s">
        <v>72</v>
      </c>
      <c r="AE105" s="58" t="s">
        <v>69</v>
      </c>
      <c r="AF105" s="58">
        <v>68</v>
      </c>
      <c r="AG105" s="58">
        <v>1.7</v>
      </c>
      <c r="AH105" s="58">
        <v>23.529411764705884</v>
      </c>
      <c r="AI105" s="58" t="s">
        <v>68</v>
      </c>
      <c r="AJ105" s="53" t="s">
        <v>41</v>
      </c>
      <c r="AK105" s="53" t="s">
        <v>41</v>
      </c>
      <c r="AL105" s="53" t="s">
        <v>41</v>
      </c>
      <c r="AM105" s="53" t="s">
        <v>38</v>
      </c>
      <c r="AN105" s="53" t="s">
        <v>41</v>
      </c>
      <c r="AQ105" s="53" t="s">
        <v>41</v>
      </c>
      <c r="AR105" s="58">
        <v>5</v>
      </c>
      <c r="AS105" s="58">
        <v>1</v>
      </c>
    </row>
    <row r="106" spans="1:45" x14ac:dyDescent="0.3">
      <c r="A106" s="53" t="s">
        <v>898</v>
      </c>
      <c r="B106" s="58" t="s">
        <v>87</v>
      </c>
      <c r="C106" s="58">
        <v>18</v>
      </c>
      <c r="D106" s="63">
        <v>44720</v>
      </c>
      <c r="F106" s="58" t="s">
        <v>359</v>
      </c>
      <c r="G106" s="58">
        <v>37</v>
      </c>
      <c r="H106" s="58" t="s">
        <v>38</v>
      </c>
      <c r="I106" s="58" t="s">
        <v>132</v>
      </c>
      <c r="J106" s="58" t="s">
        <v>38</v>
      </c>
      <c r="K106" s="58" t="s">
        <v>132</v>
      </c>
      <c r="L106" s="58" t="s">
        <v>38</v>
      </c>
      <c r="M106" s="58" t="s">
        <v>132</v>
      </c>
      <c r="N106" s="58" t="s">
        <v>41</v>
      </c>
      <c r="O106" s="58"/>
      <c r="P106" s="58" t="s">
        <v>38</v>
      </c>
      <c r="Q106" s="58" t="s">
        <v>132</v>
      </c>
      <c r="R106" s="58" t="s">
        <v>38</v>
      </c>
      <c r="S106" s="58" t="s">
        <v>65</v>
      </c>
      <c r="T106" s="58" t="s">
        <v>41</v>
      </c>
      <c r="U106" s="58"/>
      <c r="V106" s="58" t="s">
        <v>397</v>
      </c>
      <c r="W106" s="58" t="s">
        <v>55</v>
      </c>
      <c r="AD106" s="58" t="s">
        <v>72</v>
      </c>
      <c r="AE106" s="58" t="s">
        <v>400</v>
      </c>
      <c r="AF106" s="58">
        <v>39</v>
      </c>
      <c r="AG106" s="58">
        <v>1.49</v>
      </c>
      <c r="AH106" s="58">
        <v>17.56677627133913</v>
      </c>
      <c r="AI106" s="58" t="s">
        <v>68</v>
      </c>
      <c r="AJ106" s="53" t="s">
        <v>41</v>
      </c>
      <c r="AK106" s="53" t="s">
        <v>41</v>
      </c>
      <c r="AL106" s="53" t="s">
        <v>41</v>
      </c>
      <c r="AM106" s="53" t="s">
        <v>41</v>
      </c>
      <c r="AN106" s="53" t="s">
        <v>41</v>
      </c>
      <c r="AQ106" s="53" t="s">
        <v>41</v>
      </c>
      <c r="AR106" s="58">
        <v>7</v>
      </c>
      <c r="AS106" s="58">
        <v>1</v>
      </c>
    </row>
    <row r="107" spans="1:45" x14ac:dyDescent="0.3">
      <c r="A107" s="53" t="s">
        <v>899</v>
      </c>
      <c r="B107" s="58" t="s">
        <v>36</v>
      </c>
      <c r="C107" s="58">
        <v>26</v>
      </c>
      <c r="D107" s="71">
        <v>44626</v>
      </c>
      <c r="F107" s="58" t="s">
        <v>359</v>
      </c>
      <c r="G107" s="58">
        <v>37</v>
      </c>
      <c r="H107" s="58" t="s">
        <v>38</v>
      </c>
      <c r="I107" s="58" t="s">
        <v>83</v>
      </c>
      <c r="J107" s="58" t="s">
        <v>38</v>
      </c>
      <c r="K107" s="58" t="s">
        <v>51</v>
      </c>
      <c r="L107" s="58" t="s">
        <v>38</v>
      </c>
      <c r="M107" s="58" t="s">
        <v>51</v>
      </c>
      <c r="N107" s="58" t="s">
        <v>38</v>
      </c>
      <c r="O107" s="58" t="s">
        <v>51</v>
      </c>
      <c r="P107" s="58" t="s">
        <v>41</v>
      </c>
      <c r="Q107" s="58"/>
      <c r="R107" s="58" t="s">
        <v>41</v>
      </c>
      <c r="S107" s="58"/>
      <c r="T107" s="58" t="s">
        <v>41</v>
      </c>
      <c r="U107" s="58"/>
      <c r="V107" s="58" t="s">
        <v>41</v>
      </c>
      <c r="W107" s="58"/>
      <c r="AD107" s="58" t="s">
        <v>99</v>
      </c>
      <c r="AE107" s="58" t="s">
        <v>403</v>
      </c>
      <c r="AF107" s="58">
        <v>56</v>
      </c>
      <c r="AG107" s="58">
        <v>1.68</v>
      </c>
      <c r="AH107" s="58">
        <v>19.841269841269845</v>
      </c>
      <c r="AI107" s="58" t="s">
        <v>68</v>
      </c>
      <c r="AJ107" s="53" t="s">
        <v>41</v>
      </c>
      <c r="AK107" s="53" t="s">
        <v>41</v>
      </c>
      <c r="AL107" s="53" t="s">
        <v>41</v>
      </c>
      <c r="AM107" s="53" t="s">
        <v>38</v>
      </c>
      <c r="AN107" s="53" t="s">
        <v>41</v>
      </c>
      <c r="AQ107" s="53" t="s">
        <v>41</v>
      </c>
      <c r="AR107" s="58">
        <v>1</v>
      </c>
      <c r="AS107" s="58">
        <v>1</v>
      </c>
    </row>
    <row r="108" spans="1:45" x14ac:dyDescent="0.3">
      <c r="A108" s="53" t="s">
        <v>900</v>
      </c>
      <c r="B108" s="58" t="s">
        <v>36</v>
      </c>
      <c r="C108" s="58">
        <v>26</v>
      </c>
      <c r="D108" s="65">
        <v>44649</v>
      </c>
      <c r="E108" s="53" t="s">
        <v>961</v>
      </c>
      <c r="F108" s="58" t="s">
        <v>359</v>
      </c>
      <c r="G108" s="58">
        <v>37</v>
      </c>
      <c r="H108" s="58" t="s">
        <v>38</v>
      </c>
      <c r="I108" s="58" t="s">
        <v>43</v>
      </c>
      <c r="J108" s="58" t="s">
        <v>38</v>
      </c>
      <c r="K108" s="58" t="s">
        <v>43</v>
      </c>
      <c r="L108" s="58" t="s">
        <v>38</v>
      </c>
      <c r="M108" s="58" t="s">
        <v>51</v>
      </c>
      <c r="N108" s="58" t="s">
        <v>38</v>
      </c>
      <c r="O108" s="58" t="s">
        <v>43</v>
      </c>
      <c r="P108" s="58" t="s">
        <v>38</v>
      </c>
      <c r="Q108" s="58" t="s">
        <v>43</v>
      </c>
      <c r="R108" s="58" t="s">
        <v>38</v>
      </c>
      <c r="S108" s="58" t="s">
        <v>43</v>
      </c>
      <c r="T108" s="58" t="s">
        <v>41</v>
      </c>
      <c r="U108" s="58"/>
      <c r="V108" s="58" t="s">
        <v>41</v>
      </c>
      <c r="W108" s="58"/>
      <c r="AD108" s="58" t="s">
        <v>61</v>
      </c>
      <c r="AE108" s="58" t="s">
        <v>406</v>
      </c>
      <c r="AF108" s="58">
        <v>59</v>
      </c>
      <c r="AG108" s="58">
        <v>1.73</v>
      </c>
      <c r="AH108" s="58">
        <v>19.713321527615356</v>
      </c>
      <c r="AI108" s="58" t="s">
        <v>68</v>
      </c>
      <c r="AJ108" s="53" t="s">
        <v>41</v>
      </c>
      <c r="AK108" s="53" t="s">
        <v>41</v>
      </c>
      <c r="AL108" s="53" t="s">
        <v>41</v>
      </c>
      <c r="AM108" s="53" t="s">
        <v>41</v>
      </c>
      <c r="AN108" s="53" t="s">
        <v>41</v>
      </c>
      <c r="AQ108" s="53" t="s">
        <v>41</v>
      </c>
      <c r="AR108" s="58">
        <v>1</v>
      </c>
      <c r="AS108" s="58">
        <v>1</v>
      </c>
    </row>
    <row r="109" spans="1:45" x14ac:dyDescent="0.3">
      <c r="A109" s="53" t="s">
        <v>901</v>
      </c>
      <c r="B109" s="58" t="s">
        <v>36</v>
      </c>
      <c r="C109" s="58">
        <v>25</v>
      </c>
      <c r="D109" s="65">
        <v>44634</v>
      </c>
      <c r="F109" s="58" t="s">
        <v>359</v>
      </c>
      <c r="G109" s="58">
        <v>37</v>
      </c>
      <c r="H109" s="58" t="s">
        <v>38</v>
      </c>
      <c r="I109" s="58" t="s">
        <v>51</v>
      </c>
      <c r="J109" s="58" t="s">
        <v>38</v>
      </c>
      <c r="K109" s="58" t="s">
        <v>51</v>
      </c>
      <c r="L109" s="58" t="s">
        <v>41</v>
      </c>
      <c r="M109" s="58"/>
      <c r="N109" s="58" t="s">
        <v>38</v>
      </c>
      <c r="O109" s="58" t="s">
        <v>51</v>
      </c>
      <c r="P109" s="58" t="s">
        <v>38</v>
      </c>
      <c r="Q109" s="58" t="s">
        <v>51</v>
      </c>
      <c r="R109" s="58" t="s">
        <v>38</v>
      </c>
      <c r="S109" s="58" t="s">
        <v>51</v>
      </c>
      <c r="T109" s="58" t="s">
        <v>38</v>
      </c>
      <c r="U109" s="58" t="s">
        <v>51</v>
      </c>
      <c r="V109" s="58" t="s">
        <v>213</v>
      </c>
      <c r="W109" s="58" t="s">
        <v>51</v>
      </c>
      <c r="AD109" s="58" t="s">
        <v>61</v>
      </c>
      <c r="AE109" s="58" t="s">
        <v>69</v>
      </c>
      <c r="AF109" s="58">
        <v>65</v>
      </c>
      <c r="AG109" s="58">
        <v>1.75</v>
      </c>
      <c r="AH109" s="58">
        <v>21.224489795918366</v>
      </c>
      <c r="AI109" s="58" t="s">
        <v>68</v>
      </c>
      <c r="AJ109" s="53" t="s">
        <v>41</v>
      </c>
      <c r="AK109" s="53" t="s">
        <v>41</v>
      </c>
      <c r="AL109" s="53" t="s">
        <v>41</v>
      </c>
      <c r="AM109" s="53" t="s">
        <v>41</v>
      </c>
      <c r="AN109" s="53" t="s">
        <v>41</v>
      </c>
      <c r="AQ109" s="53" t="s">
        <v>41</v>
      </c>
      <c r="AR109" s="58">
        <v>1</v>
      </c>
      <c r="AS109" s="58">
        <v>1</v>
      </c>
    </row>
    <row r="110" spans="1:45" x14ac:dyDescent="0.3">
      <c r="A110" s="53" t="s">
        <v>902</v>
      </c>
      <c r="B110" s="58" t="s">
        <v>87</v>
      </c>
      <c r="C110" s="58">
        <v>27</v>
      </c>
      <c r="D110" s="65">
        <v>44629</v>
      </c>
      <c r="F110" s="58" t="s">
        <v>359</v>
      </c>
      <c r="G110" s="58">
        <v>37</v>
      </c>
      <c r="H110" s="58" t="s">
        <v>38</v>
      </c>
      <c r="I110" s="58" t="s">
        <v>378</v>
      </c>
      <c r="J110" s="58" t="s">
        <v>41</v>
      </c>
      <c r="K110" s="58"/>
      <c r="L110" s="58" t="s">
        <v>38</v>
      </c>
      <c r="M110" s="58" t="s">
        <v>378</v>
      </c>
      <c r="N110" s="58" t="s">
        <v>38</v>
      </c>
      <c r="O110" s="58" t="s">
        <v>132</v>
      </c>
      <c r="P110" s="58" t="s">
        <v>41</v>
      </c>
      <c r="Q110" s="58"/>
      <c r="R110" s="58" t="s">
        <v>38</v>
      </c>
      <c r="S110" s="58" t="s">
        <v>378</v>
      </c>
      <c r="T110" s="58" t="s">
        <v>41</v>
      </c>
      <c r="U110" s="58"/>
      <c r="V110" s="58" t="s">
        <v>41</v>
      </c>
      <c r="W110" s="58"/>
      <c r="AD110" s="58" t="s">
        <v>72</v>
      </c>
      <c r="AE110" s="58" t="s">
        <v>69</v>
      </c>
      <c r="AF110" s="58">
        <v>51</v>
      </c>
      <c r="AG110" s="58">
        <v>1.5</v>
      </c>
      <c r="AH110" s="58">
        <v>22.666666666666668</v>
      </c>
      <c r="AI110" s="58" t="s">
        <v>68</v>
      </c>
      <c r="AJ110" s="53" t="s">
        <v>41</v>
      </c>
      <c r="AK110" s="53" t="s">
        <v>41</v>
      </c>
      <c r="AL110" s="53" t="s">
        <v>41</v>
      </c>
      <c r="AM110" s="53" t="s">
        <v>38</v>
      </c>
      <c r="AN110" s="53" t="s">
        <v>41</v>
      </c>
      <c r="AQ110" s="53" t="s">
        <v>41</v>
      </c>
      <c r="AR110" s="58">
        <v>2</v>
      </c>
      <c r="AS110" s="58">
        <v>2</v>
      </c>
    </row>
    <row r="111" spans="1:45" x14ac:dyDescent="0.3">
      <c r="A111" s="53" t="s">
        <v>903</v>
      </c>
      <c r="B111" s="58" t="s">
        <v>36</v>
      </c>
      <c r="C111" s="58">
        <v>25</v>
      </c>
      <c r="D111" s="65">
        <v>44627</v>
      </c>
      <c r="F111" s="58" t="s">
        <v>359</v>
      </c>
      <c r="G111" s="58">
        <v>37</v>
      </c>
      <c r="H111" s="58" t="s">
        <v>38</v>
      </c>
      <c r="I111" s="58" t="s">
        <v>43</v>
      </c>
      <c r="J111" s="58" t="s">
        <v>38</v>
      </c>
      <c r="K111" s="58" t="s">
        <v>43</v>
      </c>
      <c r="L111" s="58" t="s">
        <v>38</v>
      </c>
      <c r="M111" s="58" t="s">
        <v>43</v>
      </c>
      <c r="N111" s="58" t="s">
        <v>38</v>
      </c>
      <c r="O111" s="58" t="s">
        <v>43</v>
      </c>
      <c r="P111" s="58" t="s">
        <v>41</v>
      </c>
      <c r="Q111" s="58"/>
      <c r="R111" s="58" t="s">
        <v>41</v>
      </c>
      <c r="S111" s="58"/>
      <c r="T111" s="58" t="s">
        <v>41</v>
      </c>
      <c r="U111" s="58"/>
      <c r="V111" s="58" t="s">
        <v>41</v>
      </c>
      <c r="W111" s="58"/>
      <c r="AD111" s="58" t="s">
        <v>61</v>
      </c>
      <c r="AE111" s="58" t="s">
        <v>412</v>
      </c>
      <c r="AF111" s="58">
        <v>57</v>
      </c>
      <c r="AG111" s="58">
        <v>1.93</v>
      </c>
      <c r="AH111" s="58">
        <v>15.302424226153724</v>
      </c>
      <c r="AI111" s="58" t="s">
        <v>68</v>
      </c>
      <c r="AJ111" s="53" t="s">
        <v>41</v>
      </c>
      <c r="AK111" s="53" t="s">
        <v>41</v>
      </c>
      <c r="AL111" s="53" t="s">
        <v>38</v>
      </c>
      <c r="AM111" s="53" t="s">
        <v>38</v>
      </c>
      <c r="AN111" s="53" t="s">
        <v>41</v>
      </c>
      <c r="AQ111" s="53" t="s">
        <v>41</v>
      </c>
      <c r="AR111" s="58">
        <v>2</v>
      </c>
      <c r="AS111" s="58">
        <v>1</v>
      </c>
    </row>
    <row r="112" spans="1:45" x14ac:dyDescent="0.3">
      <c r="A112" s="53" t="s">
        <v>904</v>
      </c>
      <c r="B112" s="58" t="s">
        <v>36</v>
      </c>
      <c r="C112" s="58">
        <v>49</v>
      </c>
      <c r="D112" s="65">
        <v>44989</v>
      </c>
      <c r="F112" s="58" t="s">
        <v>359</v>
      </c>
      <c r="G112" s="58">
        <v>37</v>
      </c>
      <c r="H112" s="58" t="s">
        <v>38</v>
      </c>
      <c r="I112" s="58" t="s">
        <v>132</v>
      </c>
      <c r="J112" s="58" t="s">
        <v>38</v>
      </c>
      <c r="K112" s="58" t="s">
        <v>132</v>
      </c>
      <c r="L112" s="58" t="s">
        <v>38</v>
      </c>
      <c r="M112" s="58" t="s">
        <v>51</v>
      </c>
      <c r="N112" s="58" t="s">
        <v>38</v>
      </c>
      <c r="O112" s="58" t="s">
        <v>43</v>
      </c>
      <c r="P112" s="58" t="s">
        <v>41</v>
      </c>
      <c r="Q112" s="58"/>
      <c r="R112" s="58" t="s">
        <v>41</v>
      </c>
      <c r="S112" s="58"/>
      <c r="T112" s="58" t="s">
        <v>41</v>
      </c>
      <c r="U112" s="58"/>
      <c r="V112" s="58" t="s">
        <v>213</v>
      </c>
      <c r="W112" s="58" t="s">
        <v>50</v>
      </c>
      <c r="AD112" s="58" t="s">
        <v>61</v>
      </c>
      <c r="AE112" s="58" t="s">
        <v>416</v>
      </c>
      <c r="AF112" s="58">
        <v>65</v>
      </c>
      <c r="AG112" s="58">
        <v>1.69</v>
      </c>
      <c r="AH112" s="58">
        <v>22.758306781975424</v>
      </c>
      <c r="AI112" s="58" t="s">
        <v>68</v>
      </c>
      <c r="AJ112" s="53" t="s">
        <v>41</v>
      </c>
      <c r="AK112" s="53" t="s">
        <v>41</v>
      </c>
      <c r="AL112" s="53" t="s">
        <v>41</v>
      </c>
      <c r="AM112" s="53" t="s">
        <v>38</v>
      </c>
      <c r="AN112" s="53" t="s">
        <v>41</v>
      </c>
      <c r="AQ112" s="53" t="s">
        <v>38</v>
      </c>
      <c r="AR112" s="58">
        <v>6</v>
      </c>
      <c r="AS112" s="58">
        <v>3</v>
      </c>
    </row>
    <row r="113" spans="1:45" x14ac:dyDescent="0.3">
      <c r="A113" s="53" t="s">
        <v>905</v>
      </c>
      <c r="B113" s="58" t="s">
        <v>36</v>
      </c>
      <c r="C113" s="58">
        <v>30</v>
      </c>
      <c r="D113" s="65">
        <v>44622</v>
      </c>
      <c r="F113" s="58" t="s">
        <v>359</v>
      </c>
      <c r="G113" s="58">
        <v>38</v>
      </c>
      <c r="H113" s="58" t="s">
        <v>38</v>
      </c>
      <c r="I113" s="58" t="s">
        <v>415</v>
      </c>
      <c r="J113" s="58" t="s">
        <v>38</v>
      </c>
      <c r="K113" s="58" t="s">
        <v>415</v>
      </c>
      <c r="L113" s="58" t="s">
        <v>38</v>
      </c>
      <c r="M113" s="58" t="s">
        <v>55</v>
      </c>
      <c r="N113" s="58" t="s">
        <v>38</v>
      </c>
      <c r="O113" s="58" t="s">
        <v>65</v>
      </c>
      <c r="P113" s="58" t="s">
        <v>38</v>
      </c>
      <c r="Q113" s="58" t="s">
        <v>415</v>
      </c>
      <c r="R113" s="58" t="s">
        <v>38</v>
      </c>
      <c r="S113" s="58" t="s">
        <v>415</v>
      </c>
      <c r="T113" s="58" t="s">
        <v>41</v>
      </c>
      <c r="U113" s="58"/>
      <c r="V113" s="58" t="s">
        <v>41</v>
      </c>
      <c r="W113" s="58"/>
      <c r="AD113" s="58" t="s">
        <v>61</v>
      </c>
      <c r="AE113" s="58" t="s">
        <v>79</v>
      </c>
      <c r="AF113" s="58">
        <v>53</v>
      </c>
      <c r="AG113" s="58">
        <v>1.69</v>
      </c>
      <c r="AH113" s="58">
        <v>18.556773222226116</v>
      </c>
      <c r="AI113" s="58" t="s">
        <v>68</v>
      </c>
      <c r="AJ113" s="53" t="s">
        <v>41</v>
      </c>
      <c r="AK113" s="53" t="s">
        <v>41</v>
      </c>
      <c r="AL113" s="53" t="s">
        <v>41</v>
      </c>
      <c r="AM113" s="53" t="s">
        <v>38</v>
      </c>
      <c r="AN113" s="53" t="s">
        <v>41</v>
      </c>
      <c r="AQ113" s="53" t="s">
        <v>41</v>
      </c>
      <c r="AR113" s="58">
        <v>6</v>
      </c>
      <c r="AS113" s="58">
        <v>6</v>
      </c>
    </row>
    <row r="114" spans="1:45" x14ac:dyDescent="0.3">
      <c r="A114" s="53" t="s">
        <v>906</v>
      </c>
      <c r="B114" s="58" t="s">
        <v>87</v>
      </c>
      <c r="C114" s="58">
        <v>19</v>
      </c>
      <c r="D114" s="63">
        <v>44620</v>
      </c>
      <c r="F114" s="58" t="s">
        <v>359</v>
      </c>
      <c r="G114" s="58">
        <v>38</v>
      </c>
      <c r="H114" s="58" t="s">
        <v>38</v>
      </c>
      <c r="I114" s="58" t="s">
        <v>52</v>
      </c>
      <c r="J114" s="58" t="s">
        <v>38</v>
      </c>
      <c r="K114" s="58" t="s">
        <v>52</v>
      </c>
      <c r="L114" s="58" t="s">
        <v>38</v>
      </c>
      <c r="M114" s="58" t="s">
        <v>52</v>
      </c>
      <c r="N114" s="58" t="s">
        <v>41</v>
      </c>
      <c r="O114" s="58"/>
      <c r="P114" s="58" t="s">
        <v>41</v>
      </c>
      <c r="Q114" s="58"/>
      <c r="R114" s="58" t="s">
        <v>41</v>
      </c>
      <c r="S114" s="58"/>
      <c r="T114" s="58" t="s">
        <v>38</v>
      </c>
      <c r="U114" s="58" t="s">
        <v>52</v>
      </c>
      <c r="V114" s="58" t="s">
        <v>41</v>
      </c>
      <c r="W114" s="58"/>
      <c r="AD114" s="58" t="s">
        <v>61</v>
      </c>
      <c r="AE114" s="58" t="s">
        <v>118</v>
      </c>
      <c r="AF114" s="58">
        <v>51</v>
      </c>
      <c r="AG114" s="58">
        <v>1.45</v>
      </c>
      <c r="AH114" s="58">
        <v>24.256837098692031</v>
      </c>
      <c r="AI114" s="58" t="s">
        <v>68</v>
      </c>
      <c r="AJ114" s="53" t="s">
        <v>41</v>
      </c>
      <c r="AK114" s="53" t="s">
        <v>41</v>
      </c>
      <c r="AL114" s="53" t="s">
        <v>41</v>
      </c>
      <c r="AM114" s="53" t="s">
        <v>41</v>
      </c>
      <c r="AN114" s="53" t="s">
        <v>41</v>
      </c>
      <c r="AQ114" s="53" t="s">
        <v>38</v>
      </c>
      <c r="AR114" s="58">
        <v>7</v>
      </c>
      <c r="AS114" s="58">
        <v>3</v>
      </c>
    </row>
    <row r="115" spans="1:45" x14ac:dyDescent="0.3">
      <c r="A115" s="53" t="s">
        <v>907</v>
      </c>
      <c r="B115" s="58" t="s">
        <v>36</v>
      </c>
      <c r="C115" s="58">
        <v>29</v>
      </c>
      <c r="D115" s="63">
        <v>44614</v>
      </c>
      <c r="F115" s="58" t="s">
        <v>359</v>
      </c>
      <c r="G115" s="58">
        <v>37</v>
      </c>
      <c r="H115" s="58" t="s">
        <v>38</v>
      </c>
      <c r="I115" s="58" t="s">
        <v>354</v>
      </c>
      <c r="J115" s="58" t="s">
        <v>38</v>
      </c>
      <c r="K115" s="58" t="s">
        <v>354</v>
      </c>
      <c r="L115" s="58" t="s">
        <v>38</v>
      </c>
      <c r="M115" s="58" t="s">
        <v>421</v>
      </c>
      <c r="N115" s="58" t="s">
        <v>41</v>
      </c>
      <c r="O115" s="58"/>
      <c r="P115" s="58" t="s">
        <v>41</v>
      </c>
      <c r="Q115" s="58"/>
      <c r="R115" s="58" t="s">
        <v>41</v>
      </c>
      <c r="S115" s="58"/>
      <c r="T115" s="58" t="s">
        <v>41</v>
      </c>
      <c r="U115" s="58"/>
      <c r="V115" s="58" t="s">
        <v>41</v>
      </c>
      <c r="W115" s="58"/>
      <c r="AD115" s="58" t="s">
        <v>172</v>
      </c>
      <c r="AE115" s="58" t="s">
        <v>141</v>
      </c>
      <c r="AF115" s="58">
        <v>71</v>
      </c>
      <c r="AG115" s="58">
        <v>1.7</v>
      </c>
      <c r="AH115" s="58">
        <v>24.567474048442911</v>
      </c>
      <c r="AI115" s="58" t="s">
        <v>68</v>
      </c>
      <c r="AJ115" s="53" t="s">
        <v>41</v>
      </c>
      <c r="AK115" s="53" t="s">
        <v>41</v>
      </c>
      <c r="AL115" s="53" t="s">
        <v>41</v>
      </c>
      <c r="AM115" s="53" t="s">
        <v>41</v>
      </c>
      <c r="AN115" s="53" t="s">
        <v>41</v>
      </c>
      <c r="AQ115" s="53" t="s">
        <v>41</v>
      </c>
      <c r="AR115" s="58">
        <v>2</v>
      </c>
      <c r="AS115" s="58">
        <v>2</v>
      </c>
    </row>
    <row r="116" spans="1:45" x14ac:dyDescent="0.3">
      <c r="A116" s="53" t="s">
        <v>908</v>
      </c>
      <c r="B116" s="58" t="s">
        <v>87</v>
      </c>
      <c r="C116" s="58">
        <v>26</v>
      </c>
      <c r="D116" s="63">
        <v>44599</v>
      </c>
      <c r="F116" s="58" t="s">
        <v>359</v>
      </c>
      <c r="G116" s="58">
        <v>37</v>
      </c>
      <c r="H116" s="58" t="s">
        <v>38</v>
      </c>
      <c r="I116" s="58" t="s">
        <v>64</v>
      </c>
      <c r="J116" s="58" t="s">
        <v>38</v>
      </c>
      <c r="K116" s="58" t="s">
        <v>50</v>
      </c>
      <c r="L116" s="58" t="s">
        <v>38</v>
      </c>
      <c r="M116" s="58" t="s">
        <v>50</v>
      </c>
      <c r="N116" s="58" t="s">
        <v>41</v>
      </c>
      <c r="O116" s="58"/>
      <c r="P116" s="58" t="s">
        <v>41</v>
      </c>
      <c r="Q116" s="58"/>
      <c r="R116" s="58" t="s">
        <v>38</v>
      </c>
      <c r="S116" s="58" t="s">
        <v>43</v>
      </c>
      <c r="T116" s="58" t="s">
        <v>41</v>
      </c>
      <c r="U116" s="58"/>
      <c r="V116" s="58" t="s">
        <v>423</v>
      </c>
      <c r="W116" s="58" t="s">
        <v>64</v>
      </c>
      <c r="AD116" s="58" t="s">
        <v>61</v>
      </c>
      <c r="AE116" s="58" t="s">
        <v>226</v>
      </c>
      <c r="AF116" s="58">
        <v>51</v>
      </c>
      <c r="AG116" s="58">
        <v>1.55</v>
      </c>
      <c r="AH116" s="58">
        <v>21.227887617065555</v>
      </c>
      <c r="AI116" s="58" t="s">
        <v>68</v>
      </c>
      <c r="AJ116" s="53" t="s">
        <v>41</v>
      </c>
      <c r="AK116" s="53" t="s">
        <v>41</v>
      </c>
      <c r="AL116" s="53" t="s">
        <v>41</v>
      </c>
      <c r="AM116" s="53" t="s">
        <v>41</v>
      </c>
      <c r="AN116" s="53" t="s">
        <v>41</v>
      </c>
      <c r="AQ116" s="53" t="s">
        <v>38</v>
      </c>
      <c r="AR116" s="58">
        <v>4</v>
      </c>
      <c r="AS116" s="58">
        <v>3</v>
      </c>
    </row>
    <row r="117" spans="1:45" x14ac:dyDescent="0.3">
      <c r="A117" s="53" t="s">
        <v>909</v>
      </c>
      <c r="B117" s="58" t="s">
        <v>87</v>
      </c>
      <c r="C117" s="58">
        <v>26</v>
      </c>
      <c r="D117" s="63">
        <v>44594</v>
      </c>
      <c r="F117" s="58" t="s">
        <v>359</v>
      </c>
      <c r="G117" s="58">
        <v>36.799999999999997</v>
      </c>
      <c r="H117" s="58" t="s">
        <v>38</v>
      </c>
      <c r="I117" s="58" t="s">
        <v>43</v>
      </c>
      <c r="J117" s="58" t="s">
        <v>41</v>
      </c>
      <c r="K117" s="58"/>
      <c r="L117" s="58" t="s">
        <v>38</v>
      </c>
      <c r="M117" s="58" t="s">
        <v>43</v>
      </c>
      <c r="N117" s="58"/>
      <c r="O117" s="58"/>
      <c r="P117" s="58" t="s">
        <v>41</v>
      </c>
      <c r="Q117" s="58"/>
      <c r="R117" s="58" t="s">
        <v>41</v>
      </c>
      <c r="S117" s="58"/>
      <c r="T117" s="58" t="s">
        <v>41</v>
      </c>
      <c r="U117" s="58"/>
      <c r="V117" s="58" t="s">
        <v>41</v>
      </c>
      <c r="W117" s="58"/>
      <c r="AD117" s="58" t="s">
        <v>61</v>
      </c>
      <c r="AE117" s="58" t="s">
        <v>428</v>
      </c>
      <c r="AF117" s="58">
        <v>35</v>
      </c>
      <c r="AG117" s="58">
        <v>1.5369999999999999</v>
      </c>
      <c r="AH117" s="58">
        <v>14.815636337930274</v>
      </c>
      <c r="AI117" s="58" t="s">
        <v>68</v>
      </c>
      <c r="AJ117" s="53" t="s">
        <v>41</v>
      </c>
      <c r="AK117" s="53" t="s">
        <v>41</v>
      </c>
      <c r="AL117" s="53" t="s">
        <v>41</v>
      </c>
      <c r="AM117" s="53" t="s">
        <v>41</v>
      </c>
      <c r="AN117" s="53" t="s">
        <v>41</v>
      </c>
      <c r="AQ117" s="53" t="s">
        <v>38</v>
      </c>
      <c r="AR117" s="58">
        <v>7</v>
      </c>
      <c r="AS117" s="58">
        <v>1</v>
      </c>
    </row>
    <row r="118" spans="1:45" x14ac:dyDescent="0.3">
      <c r="A118" s="53" t="s">
        <v>910</v>
      </c>
      <c r="B118" s="58" t="s">
        <v>87</v>
      </c>
      <c r="C118" s="58">
        <v>39</v>
      </c>
      <c r="D118" s="63">
        <v>44592</v>
      </c>
      <c r="F118" s="58" t="s">
        <v>359</v>
      </c>
      <c r="G118" s="58">
        <v>37.6</v>
      </c>
      <c r="H118" s="58" t="s">
        <v>38</v>
      </c>
      <c r="I118" s="58" t="s">
        <v>65</v>
      </c>
      <c r="J118" s="58" t="s">
        <v>38</v>
      </c>
      <c r="K118" s="58" t="s">
        <v>65</v>
      </c>
      <c r="L118" s="58" t="s">
        <v>38</v>
      </c>
      <c r="M118" s="58" t="s">
        <v>65</v>
      </c>
      <c r="N118" s="58" t="s">
        <v>41</v>
      </c>
      <c r="O118" s="58"/>
      <c r="P118" s="58" t="s">
        <v>41</v>
      </c>
      <c r="Q118" s="58"/>
      <c r="R118" s="58" t="s">
        <v>41</v>
      </c>
      <c r="S118" s="58"/>
      <c r="T118" s="58" t="s">
        <v>41</v>
      </c>
      <c r="U118" s="58"/>
      <c r="V118" s="58" t="s">
        <v>427</v>
      </c>
      <c r="W118" s="58" t="s">
        <v>65</v>
      </c>
      <c r="AD118" s="58" t="s">
        <v>99</v>
      </c>
      <c r="AE118" s="58" t="s">
        <v>428</v>
      </c>
      <c r="AF118" s="58">
        <v>51</v>
      </c>
      <c r="AG118" s="58">
        <v>1.65</v>
      </c>
      <c r="AH118" s="58">
        <v>18.732782369146008</v>
      </c>
      <c r="AI118" s="58" t="s">
        <v>68</v>
      </c>
      <c r="AJ118" s="53" t="s">
        <v>41</v>
      </c>
      <c r="AK118" s="53" t="s">
        <v>41</v>
      </c>
      <c r="AL118" s="53" t="s">
        <v>38</v>
      </c>
      <c r="AM118" s="53" t="s">
        <v>41</v>
      </c>
      <c r="AN118" s="53" t="s">
        <v>41</v>
      </c>
      <c r="AQ118" s="53" t="s">
        <v>41</v>
      </c>
      <c r="AR118" s="58">
        <v>7</v>
      </c>
      <c r="AS118" s="58">
        <v>1</v>
      </c>
    </row>
    <row r="119" spans="1:45" x14ac:dyDescent="0.3">
      <c r="A119" s="53" t="s">
        <v>911</v>
      </c>
      <c r="B119" s="58" t="s">
        <v>87</v>
      </c>
      <c r="C119" s="58">
        <v>29</v>
      </c>
      <c r="D119" s="63">
        <v>44589</v>
      </c>
      <c r="F119" s="58" t="s">
        <v>359</v>
      </c>
      <c r="G119" s="58">
        <v>37.4</v>
      </c>
      <c r="H119" s="58" t="s">
        <v>38</v>
      </c>
      <c r="I119" s="58" t="s">
        <v>50</v>
      </c>
      <c r="J119" s="58" t="s">
        <v>38</v>
      </c>
      <c r="K119" s="58" t="s">
        <v>43</v>
      </c>
      <c r="L119" s="58" t="s">
        <v>38</v>
      </c>
      <c r="M119" s="58" t="s">
        <v>65</v>
      </c>
      <c r="N119" s="58" t="s">
        <v>41</v>
      </c>
      <c r="O119" s="58"/>
      <c r="P119" s="58" t="s">
        <v>38</v>
      </c>
      <c r="Q119" s="58" t="s">
        <v>43</v>
      </c>
      <c r="R119" s="58" t="s">
        <v>38</v>
      </c>
      <c r="S119" s="58" t="s">
        <v>50</v>
      </c>
      <c r="T119" s="58" t="s">
        <v>38</v>
      </c>
      <c r="U119" s="58" t="s">
        <v>146</v>
      </c>
      <c r="V119" s="58" t="s">
        <v>41</v>
      </c>
      <c r="W119" s="58"/>
      <c r="AD119" s="58" t="s">
        <v>57</v>
      </c>
      <c r="AE119" s="58" t="s">
        <v>79</v>
      </c>
      <c r="AF119" s="58">
        <v>54</v>
      </c>
      <c r="AG119" s="58">
        <v>1.5640000000000001</v>
      </c>
      <c r="AH119" s="58">
        <v>22.075993746770362</v>
      </c>
      <c r="AI119" s="58" t="s">
        <v>68</v>
      </c>
      <c r="AJ119" s="53" t="s">
        <v>41</v>
      </c>
      <c r="AK119" s="53" t="s">
        <v>41</v>
      </c>
      <c r="AL119" s="53" t="s">
        <v>41</v>
      </c>
      <c r="AM119" s="53" t="s">
        <v>41</v>
      </c>
      <c r="AN119" s="53" t="s">
        <v>41</v>
      </c>
      <c r="AQ119" s="53" t="s">
        <v>41</v>
      </c>
      <c r="AR119" s="58">
        <v>3</v>
      </c>
      <c r="AS119" s="58">
        <v>1</v>
      </c>
    </row>
    <row r="120" spans="1:45" x14ac:dyDescent="0.3">
      <c r="A120" s="53" t="s">
        <v>912</v>
      </c>
      <c r="B120" s="58" t="s">
        <v>36</v>
      </c>
      <c r="C120" s="58">
        <v>27</v>
      </c>
      <c r="D120" s="63">
        <v>44588</v>
      </c>
      <c r="F120" s="58" t="s">
        <v>359</v>
      </c>
      <c r="G120" s="58">
        <v>38.6</v>
      </c>
      <c r="H120" s="58" t="s">
        <v>38</v>
      </c>
      <c r="I120" s="58" t="s">
        <v>43</v>
      </c>
      <c r="J120" s="58" t="s">
        <v>38</v>
      </c>
      <c r="K120" s="58" t="s">
        <v>43</v>
      </c>
      <c r="L120" s="58" t="s">
        <v>38</v>
      </c>
      <c r="M120" s="58" t="s">
        <v>43</v>
      </c>
      <c r="N120" s="58" t="s">
        <v>38</v>
      </c>
      <c r="O120" s="58" t="s">
        <v>43</v>
      </c>
      <c r="P120" s="58" t="s">
        <v>41</v>
      </c>
      <c r="Q120" s="58"/>
      <c r="R120" s="58" t="s">
        <v>38</v>
      </c>
      <c r="S120" s="58" t="s">
        <v>43</v>
      </c>
      <c r="T120" s="58" t="s">
        <v>41</v>
      </c>
      <c r="U120" s="58"/>
      <c r="V120" s="58" t="s">
        <v>41</v>
      </c>
      <c r="W120" s="58"/>
      <c r="AD120" s="58" t="s">
        <v>72</v>
      </c>
      <c r="AE120" s="58" t="s">
        <v>79</v>
      </c>
      <c r="AF120" s="58">
        <v>60</v>
      </c>
      <c r="AG120" s="58">
        <v>1.8049999999999999</v>
      </c>
      <c r="AH120" s="58">
        <v>18.416064947322383</v>
      </c>
      <c r="AI120" s="58" t="s">
        <v>68</v>
      </c>
      <c r="AJ120" s="53" t="s">
        <v>41</v>
      </c>
      <c r="AK120" s="53" t="s">
        <v>41</v>
      </c>
      <c r="AL120" s="53" t="s">
        <v>41</v>
      </c>
      <c r="AM120" s="53" t="s">
        <v>41</v>
      </c>
      <c r="AN120" s="53" t="s">
        <v>41</v>
      </c>
      <c r="AQ120" s="53" t="s">
        <v>38</v>
      </c>
      <c r="AR120" s="58">
        <v>2</v>
      </c>
      <c r="AS120" s="58">
        <v>2</v>
      </c>
    </row>
    <row r="121" spans="1:45" x14ac:dyDescent="0.3">
      <c r="A121" s="53" t="s">
        <v>913</v>
      </c>
      <c r="B121" s="58" t="s">
        <v>36</v>
      </c>
      <c r="C121" s="58">
        <v>40</v>
      </c>
      <c r="D121" s="63">
        <v>44588</v>
      </c>
      <c r="F121" s="58" t="s">
        <v>359</v>
      </c>
      <c r="G121" s="58">
        <v>38.1</v>
      </c>
      <c r="H121" s="58" t="s">
        <v>38</v>
      </c>
      <c r="I121" s="58" t="s">
        <v>64</v>
      </c>
      <c r="J121" s="58" t="s">
        <v>41</v>
      </c>
      <c r="K121" s="58"/>
      <c r="L121" s="58" t="s">
        <v>38</v>
      </c>
      <c r="M121" s="58" t="s">
        <v>64</v>
      </c>
      <c r="N121" s="58" t="s">
        <v>38</v>
      </c>
      <c r="O121" s="58" t="s">
        <v>65</v>
      </c>
      <c r="P121" s="58" t="s">
        <v>38</v>
      </c>
      <c r="Q121" s="58" t="s">
        <v>64</v>
      </c>
      <c r="R121" s="58" t="s">
        <v>38</v>
      </c>
      <c r="S121" s="58" t="s">
        <v>64</v>
      </c>
      <c r="T121" s="58" t="s">
        <v>41</v>
      </c>
      <c r="U121" s="58"/>
      <c r="V121" s="58" t="s">
        <v>423</v>
      </c>
      <c r="W121" s="58" t="s">
        <v>110</v>
      </c>
      <c r="AD121" s="58" t="s">
        <v>57</v>
      </c>
      <c r="AE121" s="58" t="s">
        <v>437</v>
      </c>
      <c r="AF121" s="58">
        <v>54</v>
      </c>
      <c r="AG121" s="58">
        <v>1.6969999999999998</v>
      </c>
      <c r="AH121" s="58">
        <v>18.751243572056346</v>
      </c>
      <c r="AI121" s="58" t="s">
        <v>68</v>
      </c>
      <c r="AJ121" s="53" t="s">
        <v>41</v>
      </c>
      <c r="AK121" s="53" t="s">
        <v>41</v>
      </c>
      <c r="AL121" s="53" t="s">
        <v>38</v>
      </c>
      <c r="AM121" s="53" t="s">
        <v>38</v>
      </c>
      <c r="AN121" s="53" t="s">
        <v>41</v>
      </c>
      <c r="AQ121" s="53" t="s">
        <v>41</v>
      </c>
      <c r="AR121" s="58">
        <v>1</v>
      </c>
      <c r="AS121" s="58">
        <v>1</v>
      </c>
    </row>
    <row r="122" spans="1:45" x14ac:dyDescent="0.3">
      <c r="A122" s="53" t="s">
        <v>914</v>
      </c>
      <c r="B122" s="58" t="s">
        <v>87</v>
      </c>
      <c r="C122" s="58">
        <v>32</v>
      </c>
      <c r="D122" s="63">
        <v>44586</v>
      </c>
      <c r="F122" s="58" t="s">
        <v>359</v>
      </c>
      <c r="G122" s="58">
        <v>37.1</v>
      </c>
      <c r="H122" s="58" t="s">
        <v>38</v>
      </c>
      <c r="I122" s="58" t="s">
        <v>50</v>
      </c>
      <c r="J122" s="58" t="s">
        <v>41</v>
      </c>
      <c r="K122" s="58"/>
      <c r="L122" s="58" t="s">
        <v>41</v>
      </c>
      <c r="M122" s="58"/>
      <c r="N122" s="58" t="s">
        <v>41</v>
      </c>
      <c r="O122" s="58"/>
      <c r="P122" s="58" t="s">
        <v>41</v>
      </c>
      <c r="Q122" s="58"/>
      <c r="R122" s="58" t="s">
        <v>41</v>
      </c>
      <c r="S122" s="58"/>
      <c r="T122" s="58" t="s">
        <v>41</v>
      </c>
      <c r="U122" s="58"/>
      <c r="V122" s="58" t="s">
        <v>423</v>
      </c>
      <c r="W122" s="58" t="s">
        <v>50</v>
      </c>
      <c r="AD122" s="58" t="s">
        <v>72</v>
      </c>
      <c r="AE122" s="58" t="s">
        <v>344</v>
      </c>
      <c r="AF122" s="58">
        <v>60</v>
      </c>
      <c r="AG122" s="58">
        <v>1.5130000000000001</v>
      </c>
      <c r="AH122" s="58">
        <v>26.210384641763014</v>
      </c>
      <c r="AI122" s="58" t="s">
        <v>68</v>
      </c>
      <c r="AJ122" s="53" t="s">
        <v>41</v>
      </c>
      <c r="AK122" s="53" t="s">
        <v>41</v>
      </c>
      <c r="AL122" s="53" t="s">
        <v>41</v>
      </c>
      <c r="AM122" s="53" t="s">
        <v>41</v>
      </c>
      <c r="AN122" s="53" t="s">
        <v>41</v>
      </c>
      <c r="AQ122" s="53" t="s">
        <v>41</v>
      </c>
      <c r="AR122" s="58">
        <v>4</v>
      </c>
      <c r="AS122" s="58">
        <v>2</v>
      </c>
    </row>
    <row r="123" spans="1:45" x14ac:dyDescent="0.3">
      <c r="A123" s="53" t="s">
        <v>915</v>
      </c>
      <c r="B123" s="58" t="s">
        <v>36</v>
      </c>
      <c r="C123" s="58">
        <v>30</v>
      </c>
      <c r="D123" s="63">
        <v>44579</v>
      </c>
      <c r="F123" s="58" t="s">
        <v>359</v>
      </c>
      <c r="G123" s="58" t="s">
        <v>69</v>
      </c>
      <c r="H123" s="58" t="s">
        <v>38</v>
      </c>
      <c r="I123" s="58" t="s">
        <v>65</v>
      </c>
      <c r="J123" s="58" t="s">
        <v>38</v>
      </c>
      <c r="K123" s="58" t="s">
        <v>51</v>
      </c>
      <c r="L123" s="58" t="s">
        <v>38</v>
      </c>
      <c r="M123" s="58" t="s">
        <v>52</v>
      </c>
      <c r="N123" s="58" t="s">
        <v>38</v>
      </c>
      <c r="O123" s="58" t="s">
        <v>53</v>
      </c>
      <c r="P123" s="58" t="s">
        <v>41</v>
      </c>
      <c r="Q123" s="58"/>
      <c r="R123" s="58" t="s">
        <v>41</v>
      </c>
      <c r="S123" s="58"/>
      <c r="T123" s="58" t="s">
        <v>41</v>
      </c>
      <c r="U123" s="58"/>
      <c r="V123" s="58" t="s">
        <v>213</v>
      </c>
      <c r="W123" s="58" t="s">
        <v>53</v>
      </c>
      <c r="AD123" s="58" t="s">
        <v>57</v>
      </c>
      <c r="AE123" s="58" t="s">
        <v>443</v>
      </c>
      <c r="AF123" s="58">
        <v>59</v>
      </c>
      <c r="AG123" s="58">
        <v>1.7749999999999999</v>
      </c>
      <c r="AH123" s="58">
        <v>18.726443166038486</v>
      </c>
      <c r="AI123" s="58" t="s">
        <v>68</v>
      </c>
      <c r="AJ123" s="53" t="s">
        <v>41</v>
      </c>
      <c r="AK123" s="53" t="s">
        <v>41</v>
      </c>
      <c r="AL123" s="53" t="s">
        <v>41</v>
      </c>
      <c r="AM123" s="53" t="s">
        <v>41</v>
      </c>
      <c r="AN123" s="53" t="s">
        <v>41</v>
      </c>
      <c r="AQ123" s="53" t="s">
        <v>41</v>
      </c>
      <c r="AR123" s="58">
        <v>1</v>
      </c>
      <c r="AS123" s="58">
        <v>1</v>
      </c>
    </row>
    <row r="124" spans="1:45" x14ac:dyDescent="0.3">
      <c r="A124" s="53" t="s">
        <v>916</v>
      </c>
      <c r="B124" s="58" t="s">
        <v>87</v>
      </c>
      <c r="C124" s="58">
        <v>22</v>
      </c>
      <c r="D124" s="63">
        <v>44574</v>
      </c>
      <c r="F124" s="58" t="s">
        <v>359</v>
      </c>
      <c r="G124" s="58">
        <v>38</v>
      </c>
      <c r="H124" s="58" t="s">
        <v>40</v>
      </c>
      <c r="I124" s="58" t="s">
        <v>441</v>
      </c>
      <c r="J124" s="58" t="s">
        <v>38</v>
      </c>
      <c r="K124" s="58" t="s">
        <v>43</v>
      </c>
      <c r="L124" s="58" t="s">
        <v>38</v>
      </c>
      <c r="M124" s="58" t="s">
        <v>43</v>
      </c>
      <c r="N124" s="58" t="s">
        <v>38</v>
      </c>
      <c r="O124" s="58" t="s">
        <v>43</v>
      </c>
      <c r="P124" s="58" t="s">
        <v>38</v>
      </c>
      <c r="Q124" s="58" t="s">
        <v>378</v>
      </c>
      <c r="R124" s="58" t="s">
        <v>38</v>
      </c>
      <c r="S124" s="58" t="s">
        <v>50</v>
      </c>
      <c r="T124" s="58" t="s">
        <v>41</v>
      </c>
      <c r="U124" s="58"/>
      <c r="V124" s="58" t="s">
        <v>442</v>
      </c>
      <c r="W124" s="58"/>
      <c r="AD124" s="58" t="s">
        <v>45</v>
      </c>
      <c r="AE124" s="58" t="s">
        <v>448</v>
      </c>
      <c r="AF124" s="58">
        <v>61</v>
      </c>
      <c r="AG124" s="58">
        <v>1.641</v>
      </c>
      <c r="AH124" s="58">
        <v>22.652319207569885</v>
      </c>
      <c r="AI124" s="58" t="s">
        <v>68</v>
      </c>
      <c r="AJ124" s="53" t="s">
        <v>41</v>
      </c>
      <c r="AK124" s="53" t="s">
        <v>41</v>
      </c>
      <c r="AL124" s="53" t="s">
        <v>41</v>
      </c>
      <c r="AM124" s="53" t="s">
        <v>38</v>
      </c>
      <c r="AN124" s="53" t="s">
        <v>41</v>
      </c>
      <c r="AQ124" s="53" t="s">
        <v>41</v>
      </c>
      <c r="AR124" s="58">
        <v>2</v>
      </c>
      <c r="AS124" s="58">
        <v>2</v>
      </c>
    </row>
    <row r="125" spans="1:45" x14ac:dyDescent="0.3">
      <c r="A125" s="53" t="s">
        <v>917</v>
      </c>
      <c r="B125" s="58" t="s">
        <v>36</v>
      </c>
      <c r="C125" s="58">
        <v>37</v>
      </c>
      <c r="D125" s="63">
        <v>44573</v>
      </c>
      <c r="E125" s="53" t="s">
        <v>964</v>
      </c>
      <c r="F125" s="58" t="s">
        <v>359</v>
      </c>
      <c r="G125" s="58">
        <v>36.799999999999997</v>
      </c>
      <c r="H125" s="58" t="s">
        <v>38</v>
      </c>
      <c r="I125" s="58" t="s">
        <v>65</v>
      </c>
      <c r="J125" s="58" t="s">
        <v>38</v>
      </c>
      <c r="K125" s="58" t="s">
        <v>446</v>
      </c>
      <c r="L125" s="58" t="s">
        <v>38</v>
      </c>
      <c r="M125" s="58" t="s">
        <v>65</v>
      </c>
      <c r="N125" s="58" t="s">
        <v>38</v>
      </c>
      <c r="O125" s="58" t="s">
        <v>65</v>
      </c>
      <c r="P125" s="58" t="s">
        <v>38</v>
      </c>
      <c r="Q125" s="58" t="s">
        <v>65</v>
      </c>
      <c r="R125" s="58" t="s">
        <v>38</v>
      </c>
      <c r="S125" s="58" t="s">
        <v>65</v>
      </c>
      <c r="T125" s="58" t="s">
        <v>41</v>
      </c>
      <c r="U125" s="58"/>
      <c r="V125" s="58" t="s">
        <v>447</v>
      </c>
      <c r="W125" s="58"/>
      <c r="AD125" s="58" t="s">
        <v>72</v>
      </c>
      <c r="AE125" s="58" t="s">
        <v>118</v>
      </c>
      <c r="AF125" s="58">
        <v>41</v>
      </c>
      <c r="AG125" s="58">
        <v>1.6659999999999999</v>
      </c>
      <c r="AH125" s="58">
        <v>14.77181508858045</v>
      </c>
      <c r="AI125" s="58" t="s">
        <v>68</v>
      </c>
      <c r="AJ125" s="53" t="s">
        <v>41</v>
      </c>
      <c r="AK125" s="53" t="s">
        <v>41</v>
      </c>
      <c r="AL125" s="53" t="s">
        <v>41</v>
      </c>
      <c r="AM125" s="53" t="s">
        <v>41</v>
      </c>
      <c r="AN125" s="53" t="s">
        <v>41</v>
      </c>
      <c r="AQ125" s="53" t="s">
        <v>41</v>
      </c>
      <c r="AR125" s="58">
        <v>2</v>
      </c>
      <c r="AS125" s="58">
        <v>4</v>
      </c>
    </row>
    <row r="126" spans="1:45" x14ac:dyDescent="0.3">
      <c r="A126" s="53" t="s">
        <v>918</v>
      </c>
      <c r="B126" s="58" t="s">
        <v>36</v>
      </c>
      <c r="C126" s="58">
        <v>65</v>
      </c>
      <c r="D126" s="63">
        <v>44567</v>
      </c>
      <c r="E126" s="53" t="s">
        <v>961</v>
      </c>
      <c r="F126" s="53" t="s">
        <v>961</v>
      </c>
      <c r="G126" s="53" t="s">
        <v>961</v>
      </c>
      <c r="H126" s="53" t="s">
        <v>961</v>
      </c>
      <c r="I126" s="53" t="s">
        <v>961</v>
      </c>
      <c r="J126" s="53" t="s">
        <v>961</v>
      </c>
      <c r="K126" s="53" t="s">
        <v>961</v>
      </c>
      <c r="L126" s="53" t="s">
        <v>961</v>
      </c>
      <c r="M126" s="53" t="s">
        <v>961</v>
      </c>
      <c r="N126" s="53" t="s">
        <v>961</v>
      </c>
      <c r="O126" s="53" t="s">
        <v>961</v>
      </c>
      <c r="P126" s="53" t="s">
        <v>961</v>
      </c>
      <c r="Q126" s="53" t="s">
        <v>961</v>
      </c>
      <c r="R126" s="53" t="s">
        <v>961</v>
      </c>
      <c r="S126" s="53" t="s">
        <v>961</v>
      </c>
      <c r="T126" s="53" t="s">
        <v>961</v>
      </c>
      <c r="U126" s="53" t="s">
        <v>961</v>
      </c>
      <c r="V126" s="53" t="s">
        <v>961</v>
      </c>
      <c r="W126" s="53" t="s">
        <v>961</v>
      </c>
      <c r="X126" s="53" t="s">
        <v>961</v>
      </c>
      <c r="Y126" s="53" t="s">
        <v>965</v>
      </c>
      <c r="AD126" s="58" t="s">
        <v>72</v>
      </c>
      <c r="AE126" s="58" t="s">
        <v>214</v>
      </c>
      <c r="AF126" s="58">
        <v>45</v>
      </c>
      <c r="AG126" s="58">
        <v>1.625</v>
      </c>
      <c r="AH126" s="58">
        <v>17.041420118343197</v>
      </c>
      <c r="AI126" s="58" t="s">
        <v>68</v>
      </c>
      <c r="AJ126" s="53" t="s">
        <v>41</v>
      </c>
      <c r="AK126" s="53" t="s">
        <v>41</v>
      </c>
      <c r="AL126" s="53" t="s">
        <v>38</v>
      </c>
      <c r="AM126" s="53" t="s">
        <v>38</v>
      </c>
      <c r="AN126" s="53" t="s">
        <v>41</v>
      </c>
      <c r="AQ126" s="53" t="s">
        <v>41</v>
      </c>
      <c r="AR126" s="58">
        <v>5</v>
      </c>
      <c r="AS126" s="58">
        <v>2</v>
      </c>
    </row>
    <row r="127" spans="1:45" x14ac:dyDescent="0.3">
      <c r="A127" s="53" t="s">
        <v>919</v>
      </c>
      <c r="B127" s="58" t="s">
        <v>36</v>
      </c>
      <c r="C127" s="58">
        <v>25</v>
      </c>
      <c r="D127" s="72">
        <v>44566</v>
      </c>
      <c r="F127" s="58" t="s">
        <v>39</v>
      </c>
      <c r="G127" s="58">
        <v>36.5</v>
      </c>
      <c r="H127" s="58" t="s">
        <v>38</v>
      </c>
      <c r="I127" s="58" t="s">
        <v>65</v>
      </c>
      <c r="J127" s="58" t="s">
        <v>38</v>
      </c>
      <c r="K127" s="58" t="s">
        <v>50</v>
      </c>
      <c r="L127" s="58" t="s">
        <v>38</v>
      </c>
      <c r="M127" s="58" t="s">
        <v>43</v>
      </c>
      <c r="N127" s="58" t="s">
        <v>41</v>
      </c>
      <c r="O127" s="58"/>
      <c r="P127" s="58" t="s">
        <v>41</v>
      </c>
      <c r="Q127" s="58"/>
      <c r="R127" s="58" t="s">
        <v>38</v>
      </c>
      <c r="S127" s="58" t="s">
        <v>336</v>
      </c>
      <c r="T127" s="58" t="s">
        <v>41</v>
      </c>
      <c r="U127" s="58"/>
      <c r="V127" s="58" t="s">
        <v>41</v>
      </c>
      <c r="W127" s="58"/>
      <c r="AD127" s="58" t="s">
        <v>45</v>
      </c>
      <c r="AE127" s="58" t="s">
        <v>79</v>
      </c>
      <c r="AF127" s="58">
        <v>61</v>
      </c>
      <c r="AG127" s="58">
        <v>1.696</v>
      </c>
      <c r="AH127" s="58">
        <v>21.206946422214312</v>
      </c>
      <c r="AI127" s="58" t="s">
        <v>68</v>
      </c>
      <c r="AJ127" s="53" t="s">
        <v>41</v>
      </c>
      <c r="AK127" s="53" t="s">
        <v>41</v>
      </c>
      <c r="AL127" s="53" t="s">
        <v>41</v>
      </c>
      <c r="AM127" s="53" t="s">
        <v>38</v>
      </c>
      <c r="AN127" s="53" t="s">
        <v>41</v>
      </c>
      <c r="AQ127" s="53" t="s">
        <v>41</v>
      </c>
      <c r="AR127" s="58">
        <v>2</v>
      </c>
      <c r="AS127" s="58">
        <v>1</v>
      </c>
    </row>
    <row r="128" spans="1:45" x14ac:dyDescent="0.3">
      <c r="A128" s="53" t="s">
        <v>920</v>
      </c>
      <c r="B128" s="58" t="s">
        <v>36</v>
      </c>
      <c r="C128" s="58">
        <v>48</v>
      </c>
      <c r="D128" s="63">
        <v>44566</v>
      </c>
      <c r="F128" s="58" t="s">
        <v>39</v>
      </c>
      <c r="G128" s="58">
        <v>36.5</v>
      </c>
      <c r="H128" s="58" t="s">
        <v>38</v>
      </c>
      <c r="I128" s="58" t="s">
        <v>103</v>
      </c>
      <c r="J128" s="58" t="s">
        <v>38</v>
      </c>
      <c r="K128" s="58" t="s">
        <v>454</v>
      </c>
      <c r="L128" s="58" t="s">
        <v>41</v>
      </c>
      <c r="M128" s="58"/>
      <c r="N128" s="58" t="s">
        <v>38</v>
      </c>
      <c r="O128" s="58" t="s">
        <v>50</v>
      </c>
      <c r="P128" s="58" t="s">
        <v>41</v>
      </c>
      <c r="Q128" s="58"/>
      <c r="R128" s="58" t="s">
        <v>41</v>
      </c>
      <c r="S128" s="58"/>
      <c r="T128" s="58" t="s">
        <v>41</v>
      </c>
      <c r="U128" s="58"/>
      <c r="V128" s="58" t="s">
        <v>455</v>
      </c>
      <c r="W128" s="58"/>
      <c r="AD128" s="58" t="s">
        <v>57</v>
      </c>
      <c r="AE128" s="58" t="s">
        <v>79</v>
      </c>
      <c r="AF128" s="58">
        <v>50</v>
      </c>
      <c r="AG128" s="58">
        <v>1.645</v>
      </c>
      <c r="AH128" s="58">
        <v>18.477286795206993</v>
      </c>
      <c r="AI128" s="58" t="s">
        <v>68</v>
      </c>
      <c r="AJ128" s="53" t="s">
        <v>38</v>
      </c>
      <c r="AK128" s="53" t="s">
        <v>41</v>
      </c>
      <c r="AL128" s="53" t="s">
        <v>41</v>
      </c>
      <c r="AM128" s="53" t="s">
        <v>38</v>
      </c>
      <c r="AN128" s="53" t="s">
        <v>41</v>
      </c>
      <c r="AQ128" s="53" t="s">
        <v>41</v>
      </c>
      <c r="AR128" s="58">
        <v>2</v>
      </c>
      <c r="AS128" s="58">
        <v>1</v>
      </c>
    </row>
    <row r="129" spans="1:45" x14ac:dyDescent="0.3">
      <c r="A129" s="53" t="s">
        <v>458</v>
      </c>
      <c r="B129" s="58" t="s">
        <v>36</v>
      </c>
      <c r="C129" s="58">
        <v>22</v>
      </c>
      <c r="D129" s="63">
        <v>44880</v>
      </c>
      <c r="F129" s="58" t="s">
        <v>39</v>
      </c>
      <c r="G129" s="58">
        <v>36.6</v>
      </c>
      <c r="H129" s="58" t="s">
        <v>38</v>
      </c>
      <c r="I129" s="58" t="s">
        <v>50</v>
      </c>
      <c r="J129" s="58" t="s">
        <v>41</v>
      </c>
      <c r="K129" s="58"/>
      <c r="L129" s="58" t="s">
        <v>41</v>
      </c>
      <c r="M129" s="58"/>
      <c r="N129" s="58" t="s">
        <v>38</v>
      </c>
      <c r="O129" s="58" t="s">
        <v>132</v>
      </c>
      <c r="P129" s="58" t="s">
        <v>41</v>
      </c>
      <c r="Q129" s="58"/>
      <c r="R129" s="58" t="s">
        <v>38</v>
      </c>
      <c r="S129" s="58" t="s">
        <v>132</v>
      </c>
      <c r="T129" s="58" t="s">
        <v>41</v>
      </c>
      <c r="U129" s="58"/>
      <c r="V129" s="58" t="s">
        <v>41</v>
      </c>
      <c r="W129" s="58"/>
      <c r="AD129" s="58" t="s">
        <v>61</v>
      </c>
      <c r="AE129" s="58" t="s">
        <v>344</v>
      </c>
      <c r="AF129" s="58">
        <v>63</v>
      </c>
      <c r="AG129" s="58">
        <v>1.61</v>
      </c>
      <c r="AH129" s="58">
        <v>24.304617877396701</v>
      </c>
      <c r="AI129" s="58" t="s">
        <v>68</v>
      </c>
      <c r="AJ129" s="53" t="s">
        <v>41</v>
      </c>
      <c r="AK129" s="53" t="s">
        <v>41</v>
      </c>
      <c r="AL129" s="53" t="s">
        <v>41</v>
      </c>
      <c r="AM129" s="53" t="s">
        <v>41</v>
      </c>
      <c r="AN129" s="53" t="s">
        <v>41</v>
      </c>
      <c r="AO129" s="53" t="s">
        <v>41</v>
      </c>
      <c r="AP129" s="53" t="s">
        <v>69</v>
      </c>
      <c r="AQ129" s="53" t="s">
        <v>41</v>
      </c>
      <c r="AR129" s="58">
        <v>1</v>
      </c>
      <c r="AS129" s="58">
        <v>1</v>
      </c>
    </row>
    <row r="130" spans="1:45" x14ac:dyDescent="0.3">
      <c r="A130" s="53" t="s">
        <v>461</v>
      </c>
      <c r="B130" s="58" t="s">
        <v>36</v>
      </c>
      <c r="C130" s="58">
        <v>28</v>
      </c>
      <c r="D130" s="63">
        <v>44881</v>
      </c>
      <c r="F130" s="58" t="s">
        <v>39</v>
      </c>
      <c r="G130" s="58" t="s">
        <v>69</v>
      </c>
      <c r="H130" s="58" t="s">
        <v>38</v>
      </c>
      <c r="I130" s="58" t="s">
        <v>51</v>
      </c>
      <c r="J130" s="58" t="s">
        <v>38</v>
      </c>
      <c r="K130" s="58" t="s">
        <v>51</v>
      </c>
      <c r="L130" s="58" t="s">
        <v>38</v>
      </c>
      <c r="M130" s="58" t="s">
        <v>51</v>
      </c>
      <c r="N130" s="58" t="s">
        <v>41</v>
      </c>
      <c r="O130" s="58"/>
      <c r="P130" s="58" t="s">
        <v>41</v>
      </c>
      <c r="Q130" s="58"/>
      <c r="R130" s="58" t="s">
        <v>41</v>
      </c>
      <c r="S130" s="58"/>
      <c r="T130" s="58" t="s">
        <v>41</v>
      </c>
      <c r="U130" s="58"/>
      <c r="V130" s="58" t="s">
        <v>41</v>
      </c>
      <c r="W130" s="58"/>
      <c r="AD130" s="58" t="s">
        <v>72</v>
      </c>
      <c r="AE130" s="58" t="s">
        <v>468</v>
      </c>
      <c r="AF130" s="58">
        <v>67</v>
      </c>
      <c r="AG130" s="58">
        <v>1.72</v>
      </c>
      <c r="AH130" s="58">
        <v>22.647376960519203</v>
      </c>
      <c r="AI130" s="58" t="s">
        <v>37</v>
      </c>
      <c r="AJ130" s="53" t="s">
        <v>41</v>
      </c>
      <c r="AK130" s="53" t="s">
        <v>41</v>
      </c>
      <c r="AL130" s="53" t="s">
        <v>38</v>
      </c>
      <c r="AM130" s="53" t="s">
        <v>41</v>
      </c>
      <c r="AN130" s="53" t="s">
        <v>41</v>
      </c>
      <c r="AO130" s="53" t="s">
        <v>41</v>
      </c>
      <c r="AP130" s="53" t="s">
        <v>41</v>
      </c>
      <c r="AQ130" s="53" t="s">
        <v>41</v>
      </c>
      <c r="AR130" s="58">
        <v>2</v>
      </c>
      <c r="AS130" s="58">
        <v>2</v>
      </c>
    </row>
    <row r="131" spans="1:45" x14ac:dyDescent="0.3">
      <c r="A131" s="53" t="s">
        <v>464</v>
      </c>
      <c r="B131" s="58" t="s">
        <v>36</v>
      </c>
      <c r="C131" s="58">
        <v>42</v>
      </c>
      <c r="D131" s="63">
        <v>44872</v>
      </c>
      <c r="F131" s="58" t="s">
        <v>39</v>
      </c>
      <c r="G131" s="58">
        <v>37</v>
      </c>
      <c r="H131" s="58" t="s">
        <v>38</v>
      </c>
      <c r="I131" s="58" t="s">
        <v>51</v>
      </c>
      <c r="J131" s="58" t="s">
        <v>38</v>
      </c>
      <c r="K131" s="58" t="s">
        <v>51</v>
      </c>
      <c r="L131" s="58" t="s">
        <v>41</v>
      </c>
      <c r="M131" s="58"/>
      <c r="N131" s="58" t="s">
        <v>38</v>
      </c>
      <c r="O131" s="58" t="s">
        <v>53</v>
      </c>
      <c r="P131" s="58" t="s">
        <v>41</v>
      </c>
      <c r="Q131" s="58"/>
      <c r="R131" s="58" t="s">
        <v>41</v>
      </c>
      <c r="S131" s="58"/>
      <c r="T131" s="58" t="s">
        <v>41</v>
      </c>
      <c r="U131" s="58"/>
      <c r="V131" s="58" t="s">
        <v>38</v>
      </c>
      <c r="W131" s="58" t="s">
        <v>467</v>
      </c>
      <c r="AD131" s="58" t="s">
        <v>72</v>
      </c>
      <c r="AE131" s="58" t="s">
        <v>69</v>
      </c>
      <c r="AF131" s="58">
        <v>58</v>
      </c>
      <c r="AG131" s="58">
        <v>1.74</v>
      </c>
      <c r="AH131" s="58">
        <v>19.157088122605362</v>
      </c>
      <c r="AI131" s="58" t="s">
        <v>68</v>
      </c>
      <c r="AJ131" s="53" t="s">
        <v>41</v>
      </c>
      <c r="AK131" s="53" t="s">
        <v>41</v>
      </c>
      <c r="AL131" s="53" t="s">
        <v>38</v>
      </c>
      <c r="AM131" s="53" t="s">
        <v>38</v>
      </c>
      <c r="AN131" s="53" t="s">
        <v>41</v>
      </c>
      <c r="AO131" s="53" t="s">
        <v>41</v>
      </c>
      <c r="AP131" s="53" t="s">
        <v>41</v>
      </c>
      <c r="AQ131" s="53" t="s">
        <v>41</v>
      </c>
      <c r="AR131" s="58">
        <v>2</v>
      </c>
      <c r="AS131" s="58">
        <v>1</v>
      </c>
    </row>
    <row r="132" spans="1:45" x14ac:dyDescent="0.3">
      <c r="A132" s="53" t="s">
        <v>469</v>
      </c>
      <c r="B132" s="58" t="s">
        <v>36</v>
      </c>
      <c r="C132" s="58">
        <v>26</v>
      </c>
      <c r="D132" s="63">
        <v>44880</v>
      </c>
      <c r="F132" s="58" t="s">
        <v>39</v>
      </c>
      <c r="G132" s="58"/>
      <c r="H132" s="58" t="s">
        <v>38</v>
      </c>
      <c r="I132" s="58" t="s">
        <v>52</v>
      </c>
      <c r="J132" s="58" t="s">
        <v>38</v>
      </c>
      <c r="K132" s="58" t="s">
        <v>132</v>
      </c>
      <c r="L132" s="58" t="s">
        <v>38</v>
      </c>
      <c r="M132" s="58" t="s">
        <v>50</v>
      </c>
      <c r="N132" s="58" t="s">
        <v>38</v>
      </c>
      <c r="O132" s="58" t="s">
        <v>50</v>
      </c>
      <c r="P132" s="58" t="s">
        <v>38</v>
      </c>
      <c r="Q132" s="58" t="s">
        <v>50</v>
      </c>
      <c r="R132" s="58" t="s">
        <v>38</v>
      </c>
      <c r="S132" s="58" t="s">
        <v>50</v>
      </c>
      <c r="T132" s="58" t="s">
        <v>41</v>
      </c>
      <c r="U132" s="58"/>
      <c r="V132" s="58" t="s">
        <v>41</v>
      </c>
      <c r="W132" s="58"/>
      <c r="AD132" s="58" t="s">
        <v>61</v>
      </c>
      <c r="AE132" s="58" t="s">
        <v>69</v>
      </c>
      <c r="AF132" s="58">
        <v>45</v>
      </c>
      <c r="AG132" s="58">
        <v>1.69</v>
      </c>
      <c r="AH132" s="58">
        <v>15.755750849059909</v>
      </c>
      <c r="AI132" s="58" t="s">
        <v>68</v>
      </c>
      <c r="AJ132" s="53" t="s">
        <v>41</v>
      </c>
      <c r="AK132" s="53" t="s">
        <v>41</v>
      </c>
      <c r="AL132" s="53" t="s">
        <v>41</v>
      </c>
      <c r="AM132" s="53" t="s">
        <v>41</v>
      </c>
      <c r="AN132" s="53" t="s">
        <v>41</v>
      </c>
      <c r="AO132" s="53" t="s">
        <v>41</v>
      </c>
      <c r="AP132" s="53" t="s">
        <v>41</v>
      </c>
      <c r="AQ132" s="53" t="s">
        <v>41</v>
      </c>
      <c r="AR132" s="58">
        <v>2</v>
      </c>
      <c r="AS132" s="58">
        <v>1</v>
      </c>
    </row>
    <row r="133" spans="1:45" x14ac:dyDescent="0.3">
      <c r="A133" s="53" t="s">
        <v>471</v>
      </c>
      <c r="B133" s="58" t="s">
        <v>87</v>
      </c>
      <c r="C133" s="58">
        <v>38</v>
      </c>
      <c r="D133" s="63">
        <v>44872</v>
      </c>
      <c r="F133" s="58" t="s">
        <v>39</v>
      </c>
      <c r="G133" s="58">
        <v>36.700000000000003</v>
      </c>
      <c r="H133" s="58" t="s">
        <v>41</v>
      </c>
      <c r="I133" s="58"/>
      <c r="J133" s="58" t="s">
        <v>41</v>
      </c>
      <c r="K133" s="58"/>
      <c r="L133" s="58" t="s">
        <v>38</v>
      </c>
      <c r="M133" s="58" t="s">
        <v>53</v>
      </c>
      <c r="N133" s="58" t="s">
        <v>38</v>
      </c>
      <c r="O133" s="58" t="s">
        <v>65</v>
      </c>
      <c r="P133" s="58" t="s">
        <v>38</v>
      </c>
      <c r="Q133" s="58" t="s">
        <v>53</v>
      </c>
      <c r="R133" s="58" t="s">
        <v>41</v>
      </c>
      <c r="S133" s="58"/>
      <c r="T133" s="58" t="s">
        <v>38</v>
      </c>
      <c r="U133" s="58" t="s">
        <v>65</v>
      </c>
      <c r="V133" s="58" t="s">
        <v>41</v>
      </c>
      <c r="W133" s="58"/>
      <c r="AD133" s="58" t="s">
        <v>57</v>
      </c>
      <c r="AE133" s="58" t="s">
        <v>69</v>
      </c>
      <c r="AF133" s="58">
        <v>55</v>
      </c>
      <c r="AG133" s="58">
        <v>1.73</v>
      </c>
      <c r="AH133" s="58">
        <v>18.376825152861773</v>
      </c>
      <c r="AI133" s="58" t="s">
        <v>37</v>
      </c>
      <c r="AJ133" s="53" t="s">
        <v>41</v>
      </c>
      <c r="AK133" s="53" t="s">
        <v>41</v>
      </c>
      <c r="AL133" s="53" t="s">
        <v>41</v>
      </c>
      <c r="AM133" s="53" t="s">
        <v>41</v>
      </c>
      <c r="AN133" s="53" t="s">
        <v>41</v>
      </c>
      <c r="AO133" s="53" t="s">
        <v>41</v>
      </c>
      <c r="AP133" s="53" t="s">
        <v>41</v>
      </c>
      <c r="AQ133" s="53" t="s">
        <v>41</v>
      </c>
      <c r="AR133" s="58">
        <v>5</v>
      </c>
      <c r="AS133" s="58">
        <v>2</v>
      </c>
    </row>
    <row r="134" spans="1:45" x14ac:dyDescent="0.3">
      <c r="A134" s="53" t="s">
        <v>474</v>
      </c>
      <c r="B134" s="58" t="s">
        <v>36</v>
      </c>
      <c r="C134" s="58">
        <v>28</v>
      </c>
      <c r="D134" s="63">
        <v>44872</v>
      </c>
      <c r="F134" s="58" t="s">
        <v>39</v>
      </c>
      <c r="G134" s="58" t="s">
        <v>69</v>
      </c>
      <c r="H134" s="58" t="s">
        <v>38</v>
      </c>
      <c r="I134" s="58" t="s">
        <v>132</v>
      </c>
      <c r="J134" s="58" t="s">
        <v>41</v>
      </c>
      <c r="K134" s="58"/>
      <c r="L134" s="58" t="s">
        <v>41</v>
      </c>
      <c r="M134" s="58"/>
      <c r="N134" s="58" t="s">
        <v>41</v>
      </c>
      <c r="O134" s="58"/>
      <c r="P134" s="58" t="s">
        <v>41</v>
      </c>
      <c r="Q134" s="58"/>
      <c r="R134" s="58" t="s">
        <v>41</v>
      </c>
      <c r="S134" s="58"/>
      <c r="T134" s="58" t="s">
        <v>41</v>
      </c>
      <c r="U134" s="58"/>
      <c r="V134" s="58" t="s">
        <v>41</v>
      </c>
      <c r="W134" s="58"/>
      <c r="AD134" s="58" t="s">
        <v>61</v>
      </c>
      <c r="AE134" s="58" t="s">
        <v>118</v>
      </c>
      <c r="AF134" s="58">
        <v>60</v>
      </c>
      <c r="AG134" s="58">
        <v>1.57</v>
      </c>
      <c r="AH134" s="58">
        <v>24.341758286340216</v>
      </c>
      <c r="AI134" s="73" t="s">
        <v>69</v>
      </c>
      <c r="AJ134" s="53" t="s">
        <v>41</v>
      </c>
      <c r="AK134" s="53" t="s">
        <v>41</v>
      </c>
      <c r="AL134" s="53" t="s">
        <v>41</v>
      </c>
      <c r="AM134" s="53" t="s">
        <v>41</v>
      </c>
      <c r="AN134" s="53" t="s">
        <v>41</v>
      </c>
      <c r="AO134" s="53" t="s">
        <v>41</v>
      </c>
      <c r="AP134" s="53" t="s">
        <v>41</v>
      </c>
      <c r="AQ134" s="53" t="s">
        <v>41</v>
      </c>
      <c r="AR134" s="58">
        <v>3</v>
      </c>
      <c r="AS134" s="58">
        <v>2</v>
      </c>
    </row>
    <row r="135" spans="1:45" x14ac:dyDescent="0.3">
      <c r="A135" s="53" t="s">
        <v>477</v>
      </c>
      <c r="B135" s="58" t="s">
        <v>87</v>
      </c>
      <c r="C135" s="58">
        <v>29</v>
      </c>
      <c r="D135" s="63">
        <v>44873</v>
      </c>
      <c r="F135" s="58" t="s">
        <v>39</v>
      </c>
      <c r="G135" s="58">
        <v>36.700000000000003</v>
      </c>
      <c r="H135" s="58" t="s">
        <v>38</v>
      </c>
      <c r="I135" s="58" t="s">
        <v>65</v>
      </c>
      <c r="J135" s="58" t="s">
        <v>38</v>
      </c>
      <c r="K135" s="58" t="s">
        <v>53</v>
      </c>
      <c r="L135" s="58" t="s">
        <v>38</v>
      </c>
      <c r="M135" s="58" t="s">
        <v>53</v>
      </c>
      <c r="N135" s="58" t="s">
        <v>41</v>
      </c>
      <c r="O135" s="58"/>
      <c r="P135" s="58" t="s">
        <v>38</v>
      </c>
      <c r="Q135" s="58" t="s">
        <v>53</v>
      </c>
      <c r="R135" s="58" t="s">
        <v>38</v>
      </c>
      <c r="S135" s="58" t="s">
        <v>53</v>
      </c>
      <c r="T135" s="58" t="s">
        <v>41</v>
      </c>
      <c r="U135" s="58"/>
      <c r="V135" s="58" t="s">
        <v>480</v>
      </c>
      <c r="W135" s="58"/>
      <c r="AD135" s="58" t="s">
        <v>61</v>
      </c>
      <c r="AE135" s="58" t="s">
        <v>372</v>
      </c>
      <c r="AF135" s="58">
        <v>53</v>
      </c>
      <c r="AG135" s="58">
        <v>1.62</v>
      </c>
      <c r="AH135" s="58">
        <v>20.195092211553114</v>
      </c>
      <c r="AI135" s="58" t="s">
        <v>37</v>
      </c>
      <c r="AJ135" s="53" t="s">
        <v>41</v>
      </c>
      <c r="AK135" s="53" t="s">
        <v>41</v>
      </c>
      <c r="AL135" s="53" t="s">
        <v>41</v>
      </c>
      <c r="AM135" s="53" t="s">
        <v>41</v>
      </c>
      <c r="AN135" s="53" t="s">
        <v>41</v>
      </c>
      <c r="AO135" s="53" t="s">
        <v>41</v>
      </c>
      <c r="AP135" s="53" t="s">
        <v>41</v>
      </c>
      <c r="AQ135" s="53" t="s">
        <v>41</v>
      </c>
      <c r="AR135" s="58">
        <v>1</v>
      </c>
      <c r="AS135" s="58">
        <v>1</v>
      </c>
    </row>
    <row r="136" spans="1:45" x14ac:dyDescent="0.3">
      <c r="A136" s="53" t="s">
        <v>921</v>
      </c>
      <c r="B136" s="58" t="s">
        <v>36</v>
      </c>
      <c r="C136" s="58">
        <v>21</v>
      </c>
      <c r="D136" s="65">
        <v>44852</v>
      </c>
      <c r="E136" s="53" t="s">
        <v>961</v>
      </c>
      <c r="F136" s="53" t="s">
        <v>961</v>
      </c>
      <c r="G136" s="53" t="s">
        <v>961</v>
      </c>
      <c r="H136" s="53" t="s">
        <v>961</v>
      </c>
      <c r="I136" s="53" t="s">
        <v>961</v>
      </c>
      <c r="J136" s="53" t="s">
        <v>961</v>
      </c>
      <c r="K136" s="53" t="s">
        <v>961</v>
      </c>
      <c r="L136" s="53" t="s">
        <v>961</v>
      </c>
      <c r="M136" s="53" t="s">
        <v>961</v>
      </c>
      <c r="N136" s="53" t="s">
        <v>961</v>
      </c>
      <c r="O136" s="53" t="s">
        <v>961</v>
      </c>
      <c r="P136" s="53" t="s">
        <v>961</v>
      </c>
      <c r="Q136" s="53" t="s">
        <v>961</v>
      </c>
      <c r="R136" s="53" t="s">
        <v>961</v>
      </c>
      <c r="S136" s="53" t="s">
        <v>961</v>
      </c>
      <c r="T136" s="53" t="s">
        <v>961</v>
      </c>
      <c r="U136" s="53" t="s">
        <v>961</v>
      </c>
      <c r="V136" s="53" t="s">
        <v>961</v>
      </c>
      <c r="W136" s="53" t="s">
        <v>961</v>
      </c>
      <c r="X136" s="53" t="s">
        <v>961</v>
      </c>
      <c r="Y136" s="53" t="s">
        <v>965</v>
      </c>
      <c r="AD136" s="58" t="s">
        <v>61</v>
      </c>
      <c r="AE136" s="58" t="s">
        <v>485</v>
      </c>
      <c r="AF136" s="58">
        <v>52</v>
      </c>
      <c r="AG136" s="58">
        <v>1.63</v>
      </c>
      <c r="AH136" s="58">
        <v>19.571681282697881</v>
      </c>
      <c r="AI136" s="58" t="s">
        <v>68</v>
      </c>
      <c r="AJ136" s="53" t="s">
        <v>41</v>
      </c>
      <c r="AK136" s="53" t="s">
        <v>41</v>
      </c>
      <c r="AL136" s="53" t="s">
        <v>41</v>
      </c>
      <c r="AM136" s="53" t="s">
        <v>41</v>
      </c>
      <c r="AN136" s="53" t="s">
        <v>41</v>
      </c>
      <c r="AQ136" s="53" t="s">
        <v>41</v>
      </c>
      <c r="AR136" s="58">
        <v>6</v>
      </c>
      <c r="AS136" s="58">
        <v>4</v>
      </c>
    </row>
    <row r="137" spans="1:45" x14ac:dyDescent="0.3">
      <c r="A137" s="53" t="s">
        <v>482</v>
      </c>
      <c r="B137" s="58" t="s">
        <v>36</v>
      </c>
      <c r="C137" s="58">
        <v>33</v>
      </c>
      <c r="D137" s="63">
        <v>44880</v>
      </c>
      <c r="F137" s="58" t="s">
        <v>39</v>
      </c>
      <c r="G137" s="58">
        <v>36.6</v>
      </c>
      <c r="H137" s="58" t="s">
        <v>38</v>
      </c>
      <c r="I137" s="58" t="s">
        <v>64</v>
      </c>
      <c r="J137" s="58" t="s">
        <v>41</v>
      </c>
      <c r="K137" s="58"/>
      <c r="L137" s="58" t="s">
        <v>38</v>
      </c>
      <c r="M137" s="58" t="s">
        <v>65</v>
      </c>
      <c r="N137" s="58" t="s">
        <v>38</v>
      </c>
      <c r="O137" s="58" t="s">
        <v>65</v>
      </c>
      <c r="P137" s="58" t="s">
        <v>41</v>
      </c>
      <c r="Q137" s="58"/>
      <c r="R137" s="58" t="s">
        <v>38</v>
      </c>
      <c r="S137" s="58" t="s">
        <v>65</v>
      </c>
      <c r="T137" s="58" t="s">
        <v>41</v>
      </c>
      <c r="U137" s="58"/>
      <c r="V137" s="58" t="s">
        <v>41</v>
      </c>
      <c r="W137" s="58"/>
      <c r="AD137" s="58" t="s">
        <v>99</v>
      </c>
      <c r="AE137" s="58" t="s">
        <v>214</v>
      </c>
      <c r="AF137" s="58">
        <v>45</v>
      </c>
      <c r="AG137" s="58">
        <v>1.58</v>
      </c>
      <c r="AH137" s="58">
        <v>18.025957378625218</v>
      </c>
      <c r="AI137" s="58" t="s">
        <v>68</v>
      </c>
      <c r="AJ137" s="53" t="s">
        <v>41</v>
      </c>
      <c r="AK137" s="53" t="s">
        <v>41</v>
      </c>
      <c r="AL137" s="53" t="s">
        <v>41</v>
      </c>
      <c r="AM137" s="53" t="s">
        <v>41</v>
      </c>
      <c r="AN137" s="53" t="s">
        <v>41</v>
      </c>
      <c r="AO137" s="53" t="s">
        <v>41</v>
      </c>
      <c r="AP137" s="53" t="s">
        <v>41</v>
      </c>
      <c r="AQ137" s="53" t="s">
        <v>41</v>
      </c>
      <c r="AR137" s="58">
        <v>1</v>
      </c>
      <c r="AS137" s="58">
        <v>1</v>
      </c>
    </row>
    <row r="138" spans="1:45" x14ac:dyDescent="0.3">
      <c r="A138" s="53" t="s">
        <v>486</v>
      </c>
      <c r="B138" s="58" t="s">
        <v>36</v>
      </c>
      <c r="C138" s="58">
        <v>34</v>
      </c>
      <c r="D138" s="63">
        <v>44880</v>
      </c>
      <c r="F138" s="58" t="s">
        <v>39</v>
      </c>
      <c r="G138" s="58" t="s">
        <v>69</v>
      </c>
      <c r="H138" s="58" t="s">
        <v>38</v>
      </c>
      <c r="I138" s="58" t="s">
        <v>50</v>
      </c>
      <c r="J138" s="58" t="s">
        <v>38</v>
      </c>
      <c r="K138" s="58" t="s">
        <v>50</v>
      </c>
      <c r="L138" s="58" t="s">
        <v>38</v>
      </c>
      <c r="M138" s="58" t="s">
        <v>50</v>
      </c>
      <c r="N138" s="58" t="s">
        <v>38</v>
      </c>
      <c r="O138" s="58" t="s">
        <v>50</v>
      </c>
      <c r="P138" s="58" t="s">
        <v>41</v>
      </c>
      <c r="Q138" s="58"/>
      <c r="R138" s="58" t="s">
        <v>38</v>
      </c>
      <c r="S138" s="58" t="s">
        <v>65</v>
      </c>
      <c r="T138" s="58" t="s">
        <v>41</v>
      </c>
      <c r="U138" s="58"/>
      <c r="V138" s="58" t="s">
        <v>41</v>
      </c>
      <c r="W138" s="58"/>
      <c r="AD138" s="58" t="s">
        <v>45</v>
      </c>
      <c r="AE138" s="58" t="s">
        <v>118</v>
      </c>
      <c r="AF138" s="58">
        <v>62</v>
      </c>
      <c r="AG138" s="58">
        <v>1.83</v>
      </c>
      <c r="AH138" s="58">
        <v>18.513541759980885</v>
      </c>
      <c r="AI138" s="58" t="s">
        <v>68</v>
      </c>
      <c r="AJ138" s="53" t="s">
        <v>41</v>
      </c>
      <c r="AK138" s="53" t="s">
        <v>41</v>
      </c>
      <c r="AL138" s="53" t="s">
        <v>41</v>
      </c>
      <c r="AM138" s="53" t="s">
        <v>41</v>
      </c>
      <c r="AN138" s="53" t="s">
        <v>41</v>
      </c>
      <c r="AO138" s="53" t="s">
        <v>41</v>
      </c>
      <c r="AP138" s="53" t="s">
        <v>41</v>
      </c>
      <c r="AQ138" s="53" t="s">
        <v>41</v>
      </c>
      <c r="AR138" s="58">
        <v>1</v>
      </c>
      <c r="AS138" s="58">
        <v>1</v>
      </c>
    </row>
    <row r="139" spans="1:45" x14ac:dyDescent="0.3">
      <c r="A139" s="53" t="s">
        <v>489</v>
      </c>
      <c r="B139" s="58" t="s">
        <v>36</v>
      </c>
      <c r="C139" s="58">
        <v>37</v>
      </c>
      <c r="D139" s="63">
        <v>44880</v>
      </c>
      <c r="F139" s="58" t="s">
        <v>39</v>
      </c>
      <c r="G139" s="58" t="s">
        <v>69</v>
      </c>
      <c r="H139" s="58" t="s">
        <v>38</v>
      </c>
      <c r="I139" s="58" t="s">
        <v>132</v>
      </c>
      <c r="J139" s="58" t="s">
        <v>38</v>
      </c>
      <c r="K139" s="58" t="s">
        <v>65</v>
      </c>
      <c r="L139" s="58" t="s">
        <v>38</v>
      </c>
      <c r="M139" s="58" t="s">
        <v>132</v>
      </c>
      <c r="N139" s="58" t="s">
        <v>41</v>
      </c>
      <c r="O139" s="58"/>
      <c r="P139" s="58" t="s">
        <v>38</v>
      </c>
      <c r="Q139" s="58" t="s">
        <v>65</v>
      </c>
      <c r="R139" s="58" t="s">
        <v>38</v>
      </c>
      <c r="S139" s="58" t="s">
        <v>65</v>
      </c>
      <c r="T139" s="58" t="s">
        <v>41</v>
      </c>
      <c r="U139" s="58"/>
      <c r="V139" s="58" t="s">
        <v>294</v>
      </c>
      <c r="W139" s="58"/>
      <c r="AD139" s="58" t="s">
        <v>61</v>
      </c>
      <c r="AE139" s="58" t="s">
        <v>118</v>
      </c>
      <c r="AF139" s="58">
        <v>52</v>
      </c>
      <c r="AG139" s="58">
        <v>1.72</v>
      </c>
      <c r="AH139" s="58">
        <v>17.577068685776098</v>
      </c>
      <c r="AI139" s="58" t="s">
        <v>68</v>
      </c>
      <c r="AJ139" s="53" t="s">
        <v>41</v>
      </c>
      <c r="AK139" s="53" t="s">
        <v>41</v>
      </c>
      <c r="AL139" s="53" t="s">
        <v>41</v>
      </c>
      <c r="AM139" s="53" t="s">
        <v>41</v>
      </c>
      <c r="AN139" s="53" t="s">
        <v>41</v>
      </c>
      <c r="AO139" s="53" t="s">
        <v>41</v>
      </c>
      <c r="AP139" s="53" t="s">
        <v>41</v>
      </c>
      <c r="AQ139" s="53" t="s">
        <v>41</v>
      </c>
      <c r="AR139" s="58">
        <v>1</v>
      </c>
      <c r="AS139" s="58">
        <v>1</v>
      </c>
    </row>
    <row r="140" spans="1:45" x14ac:dyDescent="0.3">
      <c r="A140" s="53" t="s">
        <v>492</v>
      </c>
      <c r="B140" s="58" t="s">
        <v>36</v>
      </c>
      <c r="C140" s="58">
        <v>32</v>
      </c>
      <c r="D140" s="63">
        <v>44880</v>
      </c>
      <c r="F140" s="58" t="s">
        <v>39</v>
      </c>
      <c r="G140" s="58">
        <v>36.6</v>
      </c>
      <c r="H140" s="58" t="s">
        <v>38</v>
      </c>
      <c r="I140" s="58" t="s">
        <v>132</v>
      </c>
      <c r="J140" s="58" t="s">
        <v>38</v>
      </c>
      <c r="K140" s="58" t="s">
        <v>65</v>
      </c>
      <c r="L140" s="58" t="s">
        <v>38</v>
      </c>
      <c r="M140" s="58" t="s">
        <v>132</v>
      </c>
      <c r="N140" s="58" t="s">
        <v>38</v>
      </c>
      <c r="O140" s="58" t="s">
        <v>132</v>
      </c>
      <c r="P140" s="58" t="s">
        <v>41</v>
      </c>
      <c r="Q140" s="58"/>
      <c r="R140" s="58" t="s">
        <v>41</v>
      </c>
      <c r="S140" s="58"/>
      <c r="T140" s="58" t="s">
        <v>41</v>
      </c>
      <c r="U140" s="58"/>
      <c r="V140" s="58" t="s">
        <v>41</v>
      </c>
      <c r="W140" s="58"/>
      <c r="AD140" s="58" t="s">
        <v>99</v>
      </c>
      <c r="AE140" s="58" t="s">
        <v>498</v>
      </c>
      <c r="AF140" s="58">
        <v>58</v>
      </c>
      <c r="AG140" s="58">
        <v>1.64</v>
      </c>
      <c r="AH140" s="58">
        <v>21.564544913741823</v>
      </c>
      <c r="AI140" s="58" t="s">
        <v>37</v>
      </c>
      <c r="AJ140" s="53" t="s">
        <v>41</v>
      </c>
      <c r="AK140" s="53" t="s">
        <v>41</v>
      </c>
      <c r="AL140" s="53" t="s">
        <v>41</v>
      </c>
      <c r="AM140" s="53" t="s">
        <v>38</v>
      </c>
      <c r="AN140" s="53" t="s">
        <v>41</v>
      </c>
      <c r="AO140" s="53" t="s">
        <v>41</v>
      </c>
      <c r="AP140" s="53" t="s">
        <v>41</v>
      </c>
      <c r="AQ140" s="53" t="s">
        <v>41</v>
      </c>
      <c r="AR140" s="58">
        <v>2</v>
      </c>
      <c r="AS140" s="58">
        <v>2</v>
      </c>
    </row>
    <row r="141" spans="1:45" x14ac:dyDescent="0.3">
      <c r="A141" s="53" t="s">
        <v>495</v>
      </c>
      <c r="B141" s="58" t="s">
        <v>36</v>
      </c>
      <c r="C141" s="58">
        <v>37</v>
      </c>
      <c r="D141" s="63">
        <v>44879</v>
      </c>
      <c r="F141" s="58" t="s">
        <v>39</v>
      </c>
      <c r="G141" s="58">
        <v>36.6</v>
      </c>
      <c r="H141" s="58" t="s">
        <v>38</v>
      </c>
      <c r="I141" s="58" t="s">
        <v>132</v>
      </c>
      <c r="J141" s="58" t="s">
        <v>41</v>
      </c>
      <c r="K141" s="58"/>
      <c r="L141" s="58" t="s">
        <v>104</v>
      </c>
      <c r="M141" s="58" t="s">
        <v>65</v>
      </c>
      <c r="N141" s="58" t="s">
        <v>38</v>
      </c>
      <c r="O141" s="58" t="s">
        <v>65</v>
      </c>
      <c r="P141" s="58" t="s">
        <v>38</v>
      </c>
      <c r="Q141" s="58" t="s">
        <v>43</v>
      </c>
      <c r="R141" s="58" t="s">
        <v>38</v>
      </c>
      <c r="S141" s="58" t="s">
        <v>51</v>
      </c>
      <c r="T141" s="58" t="s">
        <v>41</v>
      </c>
      <c r="U141" s="58"/>
      <c r="V141" s="58" t="s">
        <v>480</v>
      </c>
      <c r="W141" s="58" t="s">
        <v>65</v>
      </c>
      <c r="AD141" s="58" t="s">
        <v>61</v>
      </c>
      <c r="AE141" s="58" t="s">
        <v>118</v>
      </c>
      <c r="AF141" s="58">
        <v>59</v>
      </c>
      <c r="AG141" s="58">
        <v>1.75</v>
      </c>
      <c r="AH141" s="58">
        <v>19.26530612244898</v>
      </c>
      <c r="AI141" s="58" t="s">
        <v>68</v>
      </c>
      <c r="AJ141" s="53" t="s">
        <v>41</v>
      </c>
      <c r="AK141" s="53" t="s">
        <v>41</v>
      </c>
      <c r="AL141" s="53" t="s">
        <v>38</v>
      </c>
      <c r="AM141" s="53" t="s">
        <v>41</v>
      </c>
      <c r="AN141" s="53" t="s">
        <v>41</v>
      </c>
      <c r="AO141" s="53" t="s">
        <v>41</v>
      </c>
      <c r="AP141" s="53" t="s">
        <v>41</v>
      </c>
      <c r="AQ141" s="53" t="s">
        <v>41</v>
      </c>
      <c r="AR141" s="58">
        <v>4</v>
      </c>
      <c r="AS141" s="58">
        <v>2</v>
      </c>
    </row>
    <row r="142" spans="1:45" x14ac:dyDescent="0.3">
      <c r="A142" s="53" t="s">
        <v>499</v>
      </c>
      <c r="B142" s="58" t="s">
        <v>36</v>
      </c>
      <c r="C142" s="58">
        <v>30</v>
      </c>
      <c r="D142" s="63">
        <v>44875</v>
      </c>
      <c r="F142" s="58" t="s">
        <v>39</v>
      </c>
      <c r="G142" s="58" t="s">
        <v>69</v>
      </c>
      <c r="H142" s="58" t="s">
        <v>38</v>
      </c>
      <c r="I142" s="58" t="s">
        <v>50</v>
      </c>
      <c r="J142" s="58" t="s">
        <v>38</v>
      </c>
      <c r="K142" s="58" t="s">
        <v>65</v>
      </c>
      <c r="L142" s="58" t="s">
        <v>38</v>
      </c>
      <c r="M142" s="58" t="s">
        <v>65</v>
      </c>
      <c r="N142" s="58" t="s">
        <v>38</v>
      </c>
      <c r="O142" s="58" t="s">
        <v>65</v>
      </c>
      <c r="P142" s="58" t="s">
        <v>38</v>
      </c>
      <c r="Q142" s="58" t="s">
        <v>65</v>
      </c>
      <c r="R142" s="58" t="s">
        <v>38</v>
      </c>
      <c r="S142" s="58" t="s">
        <v>65</v>
      </c>
      <c r="T142" s="58" t="s">
        <v>41</v>
      </c>
      <c r="U142" s="58"/>
      <c r="V142" s="58" t="s">
        <v>41</v>
      </c>
      <c r="W142" s="58"/>
      <c r="AD142" s="58" t="s">
        <v>45</v>
      </c>
      <c r="AE142" s="58" t="s">
        <v>79</v>
      </c>
      <c r="AF142" s="58" t="s">
        <v>69</v>
      </c>
      <c r="AG142" s="58" t="s">
        <v>69</v>
      </c>
      <c r="AH142" s="58" t="e">
        <v>#VALUE!</v>
      </c>
      <c r="AI142" s="58" t="s">
        <v>69</v>
      </c>
      <c r="AJ142" s="53" t="s">
        <v>41</v>
      </c>
      <c r="AK142" s="53" t="s">
        <v>41</v>
      </c>
      <c r="AL142" s="53" t="s">
        <v>41</v>
      </c>
      <c r="AM142" s="53" t="s">
        <v>38</v>
      </c>
      <c r="AN142" s="53" t="s">
        <v>41</v>
      </c>
      <c r="AO142" s="53" t="s">
        <v>41</v>
      </c>
      <c r="AP142" s="53" t="s">
        <v>41</v>
      </c>
      <c r="AQ142" s="53" t="s">
        <v>41</v>
      </c>
      <c r="AR142" s="58">
        <v>1</v>
      </c>
      <c r="AS142" s="58">
        <v>1</v>
      </c>
    </row>
    <row r="143" spans="1:45" x14ac:dyDescent="0.3">
      <c r="A143" s="53" t="s">
        <v>502</v>
      </c>
      <c r="B143" s="58" t="s">
        <v>36</v>
      </c>
      <c r="C143" s="58">
        <v>52</v>
      </c>
      <c r="D143" s="63">
        <v>44873</v>
      </c>
      <c r="F143" s="58" t="s">
        <v>39</v>
      </c>
      <c r="G143" s="58">
        <v>36.700000000000003</v>
      </c>
      <c r="H143" s="58" t="s">
        <v>38</v>
      </c>
      <c r="I143" s="58" t="s">
        <v>132</v>
      </c>
      <c r="J143" s="58" t="s">
        <v>38</v>
      </c>
      <c r="K143" s="58" t="s">
        <v>51</v>
      </c>
      <c r="L143" s="58" t="s">
        <v>41</v>
      </c>
      <c r="M143" s="58"/>
      <c r="N143" s="58" t="s">
        <v>104</v>
      </c>
      <c r="O143" s="58" t="s">
        <v>51</v>
      </c>
      <c r="P143" s="58" t="s">
        <v>38</v>
      </c>
      <c r="Q143" s="58" t="s">
        <v>51</v>
      </c>
      <c r="R143" s="58" t="s">
        <v>38</v>
      </c>
      <c r="S143" s="58" t="s">
        <v>43</v>
      </c>
      <c r="T143" s="58" t="s">
        <v>41</v>
      </c>
      <c r="U143" s="58"/>
      <c r="V143" s="58" t="s">
        <v>41</v>
      </c>
      <c r="W143" s="58"/>
      <c r="AD143" s="58" t="s">
        <v>72</v>
      </c>
      <c r="AE143" s="58" t="s">
        <v>508</v>
      </c>
      <c r="AF143" s="58">
        <v>44</v>
      </c>
      <c r="AG143" s="58">
        <v>1.63</v>
      </c>
      <c r="AH143" s="58">
        <v>16.560653393052053</v>
      </c>
      <c r="AI143" s="58" t="s">
        <v>68</v>
      </c>
      <c r="AJ143" s="53" t="s">
        <v>41</v>
      </c>
      <c r="AK143" s="53" t="s">
        <v>41</v>
      </c>
      <c r="AL143" s="53" t="s">
        <v>38</v>
      </c>
      <c r="AM143" s="53" t="s">
        <v>38</v>
      </c>
      <c r="AN143" s="53" t="s">
        <v>41</v>
      </c>
      <c r="AO143" s="53" t="s">
        <v>41</v>
      </c>
      <c r="AP143" s="53" t="s">
        <v>41</v>
      </c>
      <c r="AQ143" s="53" t="s">
        <v>41</v>
      </c>
      <c r="AR143" s="58">
        <v>8</v>
      </c>
      <c r="AS143" s="58">
        <v>8</v>
      </c>
    </row>
    <row r="144" spans="1:45" x14ac:dyDescent="0.3">
      <c r="A144" s="53" t="s">
        <v>505</v>
      </c>
      <c r="B144" s="58" t="s">
        <v>87</v>
      </c>
      <c r="C144" s="58">
        <v>25</v>
      </c>
      <c r="D144" s="63">
        <v>44875</v>
      </c>
      <c r="F144" s="58" t="s">
        <v>39</v>
      </c>
      <c r="G144" s="58">
        <v>36.700000000000003</v>
      </c>
      <c r="H144" s="58" t="s">
        <v>38</v>
      </c>
      <c r="I144" s="58" t="s">
        <v>43</v>
      </c>
      <c r="J144" s="58" t="s">
        <v>38</v>
      </c>
      <c r="K144" s="58" t="s">
        <v>52</v>
      </c>
      <c r="L144" s="58" t="s">
        <v>38</v>
      </c>
      <c r="M144" s="58" t="s">
        <v>52</v>
      </c>
      <c r="N144" s="58" t="s">
        <v>38</v>
      </c>
      <c r="O144" s="58" t="s">
        <v>52</v>
      </c>
      <c r="P144" s="58" t="s">
        <v>41</v>
      </c>
      <c r="Q144" s="58"/>
      <c r="R144" s="58" t="s">
        <v>41</v>
      </c>
      <c r="S144" s="58"/>
      <c r="T144" s="58" t="s">
        <v>41</v>
      </c>
      <c r="U144" s="58"/>
      <c r="V144" s="58" t="s">
        <v>41</v>
      </c>
      <c r="W144" s="58"/>
      <c r="AD144" s="58" t="s">
        <v>72</v>
      </c>
      <c r="AE144" s="58" t="s">
        <v>94</v>
      </c>
      <c r="AF144" s="58">
        <v>57</v>
      </c>
      <c r="AG144" s="58">
        <v>1.68</v>
      </c>
      <c r="AH144" s="58">
        <v>20.195578231292519</v>
      </c>
      <c r="AI144" s="58" t="s">
        <v>68</v>
      </c>
      <c r="AJ144" s="53" t="s">
        <v>41</v>
      </c>
      <c r="AK144" s="53" t="s">
        <v>41</v>
      </c>
      <c r="AL144" s="53" t="s">
        <v>41</v>
      </c>
      <c r="AM144" s="53" t="s">
        <v>41</v>
      </c>
      <c r="AN144" s="53" t="s">
        <v>41</v>
      </c>
      <c r="AO144" s="53" t="s">
        <v>41</v>
      </c>
      <c r="AP144" s="53" t="s">
        <v>41</v>
      </c>
      <c r="AR144" s="58">
        <v>7</v>
      </c>
      <c r="AS144" s="58">
        <v>6</v>
      </c>
    </row>
    <row r="145" spans="1:45" x14ac:dyDescent="0.3">
      <c r="A145" s="53" t="s">
        <v>509</v>
      </c>
      <c r="B145" s="58" t="s">
        <v>36</v>
      </c>
      <c r="C145" s="58">
        <v>28</v>
      </c>
      <c r="D145" s="63">
        <v>44866</v>
      </c>
      <c r="F145" s="58" t="s">
        <v>39</v>
      </c>
      <c r="G145" s="58">
        <v>36.700000000000003</v>
      </c>
      <c r="H145" s="58" t="s">
        <v>38</v>
      </c>
      <c r="I145" s="58" t="s">
        <v>150</v>
      </c>
      <c r="J145" s="58" t="s">
        <v>38</v>
      </c>
      <c r="K145" s="58" t="s">
        <v>157</v>
      </c>
      <c r="L145" s="58" t="s">
        <v>41</v>
      </c>
      <c r="M145" s="58"/>
      <c r="N145" s="58" t="s">
        <v>41</v>
      </c>
      <c r="O145" s="58"/>
      <c r="P145" s="58" t="s">
        <v>41</v>
      </c>
      <c r="Q145" s="58"/>
      <c r="R145" s="58" t="s">
        <v>41</v>
      </c>
      <c r="S145" s="58"/>
      <c r="T145" s="58" t="s">
        <v>41</v>
      </c>
      <c r="U145" s="58"/>
      <c r="V145" s="58" t="s">
        <v>41</v>
      </c>
      <c r="W145" s="58"/>
      <c r="AD145" s="58" t="s">
        <v>61</v>
      </c>
      <c r="AE145" s="58" t="s">
        <v>515</v>
      </c>
      <c r="AF145" s="58">
        <v>65</v>
      </c>
      <c r="AG145" s="58">
        <v>1.71</v>
      </c>
      <c r="AH145" s="58">
        <v>22.229061933586404</v>
      </c>
      <c r="AI145" s="58" t="s">
        <v>68</v>
      </c>
      <c r="AJ145" s="53" t="s">
        <v>41</v>
      </c>
      <c r="AK145" s="53" t="s">
        <v>41</v>
      </c>
      <c r="AL145" s="53" t="s">
        <v>41</v>
      </c>
      <c r="AM145" s="53" t="s">
        <v>41</v>
      </c>
      <c r="AN145" s="53" t="s">
        <v>41</v>
      </c>
      <c r="AO145" s="53" t="s">
        <v>41</v>
      </c>
      <c r="AP145" s="53" t="s">
        <v>41</v>
      </c>
      <c r="AQ145" s="53" t="s">
        <v>41</v>
      </c>
      <c r="AR145" s="58">
        <v>1</v>
      </c>
      <c r="AS145" s="58">
        <v>1</v>
      </c>
    </row>
    <row r="146" spans="1:45" x14ac:dyDescent="0.3">
      <c r="A146" s="53" t="s">
        <v>512</v>
      </c>
      <c r="B146" s="58" t="s">
        <v>36</v>
      </c>
      <c r="C146" s="58">
        <v>25</v>
      </c>
      <c r="D146" s="63">
        <v>44872</v>
      </c>
      <c r="F146" s="58" t="s">
        <v>39</v>
      </c>
      <c r="G146" s="58" t="s">
        <v>69</v>
      </c>
      <c r="H146" s="58" t="s">
        <v>38</v>
      </c>
      <c r="I146" s="58" t="s">
        <v>43</v>
      </c>
      <c r="J146" s="58" t="s">
        <v>41</v>
      </c>
      <c r="K146" s="58"/>
      <c r="L146" s="58" t="s">
        <v>38</v>
      </c>
      <c r="M146" s="58" t="s">
        <v>43</v>
      </c>
      <c r="N146" s="58" t="s">
        <v>38</v>
      </c>
      <c r="O146" s="58" t="s">
        <v>43</v>
      </c>
      <c r="P146" s="58" t="s">
        <v>41</v>
      </c>
      <c r="Q146" s="58"/>
      <c r="R146" s="58" t="s">
        <v>41</v>
      </c>
      <c r="S146" s="58"/>
      <c r="T146" s="58" t="s">
        <v>41</v>
      </c>
      <c r="U146" s="58"/>
      <c r="V146" s="58" t="s">
        <v>41</v>
      </c>
      <c r="W146" s="58"/>
      <c r="AD146" s="58" t="s">
        <v>45</v>
      </c>
      <c r="AE146" s="58" t="s">
        <v>79</v>
      </c>
      <c r="AF146" s="58" t="s">
        <v>69</v>
      </c>
      <c r="AG146" s="58" t="s">
        <v>69</v>
      </c>
      <c r="AH146" s="58" t="e">
        <v>#VALUE!</v>
      </c>
      <c r="AI146" s="58" t="s">
        <v>68</v>
      </c>
      <c r="AJ146" s="53" t="s">
        <v>41</v>
      </c>
      <c r="AK146" s="53" t="s">
        <v>41</v>
      </c>
      <c r="AL146" s="53" t="s">
        <v>41</v>
      </c>
      <c r="AM146" s="53" t="s">
        <v>41</v>
      </c>
      <c r="AN146" s="53" t="s">
        <v>41</v>
      </c>
      <c r="AO146" s="53" t="s">
        <v>41</v>
      </c>
      <c r="AP146" s="53" t="s">
        <v>41</v>
      </c>
      <c r="AQ146" s="53" t="s">
        <v>41</v>
      </c>
      <c r="AR146" s="58">
        <v>2</v>
      </c>
      <c r="AS146" s="58">
        <v>2</v>
      </c>
    </row>
    <row r="147" spans="1:45" x14ac:dyDescent="0.3">
      <c r="A147" s="53" t="s">
        <v>516</v>
      </c>
      <c r="B147" s="58" t="s">
        <v>36</v>
      </c>
      <c r="C147" s="58">
        <v>48</v>
      </c>
      <c r="D147" s="63">
        <v>44872</v>
      </c>
      <c r="F147" s="58" t="s">
        <v>39</v>
      </c>
      <c r="G147" s="58" t="s">
        <v>69</v>
      </c>
      <c r="H147" s="58" t="s">
        <v>38</v>
      </c>
      <c r="I147" s="58" t="s">
        <v>132</v>
      </c>
      <c r="J147" s="58" t="s">
        <v>38</v>
      </c>
      <c r="K147" s="58" t="s">
        <v>51</v>
      </c>
      <c r="L147" s="58" t="s">
        <v>38</v>
      </c>
      <c r="M147" s="58" t="s">
        <v>43</v>
      </c>
      <c r="N147" s="58" t="s">
        <v>38</v>
      </c>
      <c r="O147" s="58" t="s">
        <v>52</v>
      </c>
      <c r="P147" s="58" t="s">
        <v>41</v>
      </c>
      <c r="Q147" s="58"/>
      <c r="R147" s="58" t="s">
        <v>41</v>
      </c>
      <c r="S147" s="58"/>
      <c r="T147" s="58" t="s">
        <v>41</v>
      </c>
      <c r="U147" s="58"/>
      <c r="V147" s="58" t="s">
        <v>41</v>
      </c>
      <c r="W147" s="58"/>
      <c r="AD147" s="58" t="s">
        <v>172</v>
      </c>
      <c r="AE147" s="58" t="s">
        <v>79</v>
      </c>
      <c r="AF147" s="58" t="s">
        <v>69</v>
      </c>
      <c r="AG147" s="58" t="s">
        <v>69</v>
      </c>
      <c r="AH147" s="58" t="e">
        <v>#VALUE!</v>
      </c>
      <c r="AI147" s="58" t="s">
        <v>69</v>
      </c>
      <c r="AJ147" s="53" t="s">
        <v>41</v>
      </c>
      <c r="AK147" s="53" t="s">
        <v>41</v>
      </c>
      <c r="AL147" s="53" t="s">
        <v>38</v>
      </c>
      <c r="AM147" s="53" t="s">
        <v>38</v>
      </c>
      <c r="AN147" s="53" t="s">
        <v>41</v>
      </c>
      <c r="AO147" s="53" t="s">
        <v>41</v>
      </c>
      <c r="AP147" s="53" t="s">
        <v>41</v>
      </c>
      <c r="AQ147" s="53" t="s">
        <v>41</v>
      </c>
      <c r="AR147" s="58">
        <v>1</v>
      </c>
      <c r="AS147" s="58">
        <v>1</v>
      </c>
    </row>
    <row r="148" spans="1:45" x14ac:dyDescent="0.3">
      <c r="A148" s="53" t="s">
        <v>519</v>
      </c>
      <c r="B148" s="58" t="s">
        <v>36</v>
      </c>
      <c r="C148" s="58">
        <v>40</v>
      </c>
      <c r="D148" s="63">
        <v>44869</v>
      </c>
      <c r="F148" s="58" t="s">
        <v>39</v>
      </c>
      <c r="G148" s="58" t="s">
        <v>69</v>
      </c>
      <c r="H148" s="58" t="s">
        <v>38</v>
      </c>
      <c r="I148" s="58" t="s">
        <v>43</v>
      </c>
      <c r="J148" s="58" t="s">
        <v>41</v>
      </c>
      <c r="K148" s="58"/>
      <c r="L148" s="58" t="s">
        <v>38</v>
      </c>
      <c r="M148" s="58" t="s">
        <v>43</v>
      </c>
      <c r="N148" s="58" t="s">
        <v>38</v>
      </c>
      <c r="O148" s="58" t="s">
        <v>43</v>
      </c>
      <c r="P148" s="58" t="s">
        <v>41</v>
      </c>
      <c r="Q148" s="58"/>
      <c r="R148" s="58" t="s">
        <v>41</v>
      </c>
      <c r="S148" s="58"/>
      <c r="T148" s="58" t="s">
        <v>41</v>
      </c>
      <c r="U148" s="58"/>
      <c r="V148" s="58" t="s">
        <v>41</v>
      </c>
      <c r="W148" s="58"/>
      <c r="AD148" s="58" t="s">
        <v>72</v>
      </c>
      <c r="AE148" s="58" t="s">
        <v>118</v>
      </c>
      <c r="AF148" s="58" t="s">
        <v>69</v>
      </c>
      <c r="AG148" s="58" t="s">
        <v>69</v>
      </c>
      <c r="AH148" s="58" t="e">
        <v>#VALUE!</v>
      </c>
      <c r="AI148" s="58" t="s">
        <v>37</v>
      </c>
      <c r="AJ148" s="53" t="s">
        <v>41</v>
      </c>
      <c r="AK148" s="53" t="s">
        <v>41</v>
      </c>
      <c r="AL148" s="53" t="s">
        <v>38</v>
      </c>
      <c r="AM148" s="53" t="s">
        <v>38</v>
      </c>
      <c r="AN148" s="53" t="s">
        <v>41</v>
      </c>
      <c r="AO148" s="53" t="s">
        <v>41</v>
      </c>
      <c r="AP148" s="53" t="s">
        <v>41</v>
      </c>
      <c r="AQ148" s="53" t="s">
        <v>41</v>
      </c>
      <c r="AR148" s="58">
        <v>1</v>
      </c>
      <c r="AS148" s="58">
        <v>1</v>
      </c>
    </row>
    <row r="149" spans="1:45" x14ac:dyDescent="0.3">
      <c r="A149" s="53" t="s">
        <v>522</v>
      </c>
      <c r="B149" s="58" t="s">
        <v>87</v>
      </c>
      <c r="C149" s="58">
        <v>22</v>
      </c>
      <c r="D149" s="63">
        <v>44869</v>
      </c>
      <c r="F149" s="58" t="s">
        <v>39</v>
      </c>
      <c r="G149" s="58">
        <v>36.700000000000003</v>
      </c>
      <c r="H149" s="58" t="s">
        <v>38</v>
      </c>
      <c r="I149" s="58" t="s">
        <v>51</v>
      </c>
      <c r="J149" s="58" t="s">
        <v>38</v>
      </c>
      <c r="K149" s="58" t="s">
        <v>51</v>
      </c>
      <c r="L149" s="58" t="s">
        <v>41</v>
      </c>
      <c r="M149" s="58"/>
      <c r="N149" s="58" t="s">
        <v>38</v>
      </c>
      <c r="O149" s="58" t="s">
        <v>51</v>
      </c>
      <c r="P149" s="58" t="s">
        <v>41</v>
      </c>
      <c r="Q149" s="58"/>
      <c r="R149" s="58" t="s">
        <v>41</v>
      </c>
      <c r="S149" s="58"/>
      <c r="T149" s="58" t="s">
        <v>41</v>
      </c>
      <c r="U149" s="58"/>
      <c r="V149" s="58" t="s">
        <v>41</v>
      </c>
      <c r="W149" s="58"/>
      <c r="AD149" s="58" t="s">
        <v>45</v>
      </c>
      <c r="AE149" s="58" t="s">
        <v>79</v>
      </c>
      <c r="AF149" s="58">
        <v>62</v>
      </c>
      <c r="AG149" s="58">
        <v>1.6</v>
      </c>
      <c r="AH149" s="58">
        <v>24.218749999999996</v>
      </c>
      <c r="AI149" s="58" t="s">
        <v>68</v>
      </c>
      <c r="AJ149" s="53" t="s">
        <v>41</v>
      </c>
      <c r="AK149" s="53" t="s">
        <v>41</v>
      </c>
      <c r="AL149" s="53" t="s">
        <v>41</v>
      </c>
      <c r="AM149" s="53" t="s">
        <v>41</v>
      </c>
      <c r="AN149" s="53" t="s">
        <v>41</v>
      </c>
      <c r="AO149" s="53" t="s">
        <v>41</v>
      </c>
      <c r="AP149" s="53" t="s">
        <v>41</v>
      </c>
      <c r="AQ149" s="53" t="s">
        <v>41</v>
      </c>
      <c r="AR149" s="58">
        <v>1</v>
      </c>
      <c r="AS149" s="58">
        <v>1</v>
      </c>
    </row>
    <row r="150" spans="1:45" x14ac:dyDescent="0.3">
      <c r="A150" s="53" t="s">
        <v>524</v>
      </c>
      <c r="B150" s="58" t="s">
        <v>36</v>
      </c>
      <c r="C150" s="58">
        <v>28</v>
      </c>
      <c r="D150" s="63">
        <v>44869</v>
      </c>
      <c r="F150" s="58" t="s">
        <v>39</v>
      </c>
      <c r="G150" s="58">
        <v>36.799999999999997</v>
      </c>
      <c r="H150" s="58" t="s">
        <v>38</v>
      </c>
      <c r="I150" s="58" t="s">
        <v>43</v>
      </c>
      <c r="J150" s="58" t="s">
        <v>41</v>
      </c>
      <c r="K150" s="58"/>
      <c r="L150" s="58" t="s">
        <v>41</v>
      </c>
      <c r="M150" s="58"/>
      <c r="N150" s="58" t="s">
        <v>38</v>
      </c>
      <c r="O150" s="58" t="s">
        <v>43</v>
      </c>
      <c r="P150" s="58" t="s">
        <v>41</v>
      </c>
      <c r="Q150" s="58"/>
      <c r="R150" s="58" t="s">
        <v>38</v>
      </c>
      <c r="S150" s="58" t="s">
        <v>51</v>
      </c>
      <c r="T150" s="58" t="s">
        <v>41</v>
      </c>
      <c r="U150" s="58"/>
      <c r="V150" s="58" t="s">
        <v>41</v>
      </c>
      <c r="W150" s="58"/>
      <c r="AD150" s="58" t="s">
        <v>45</v>
      </c>
      <c r="AE150" s="58" t="s">
        <v>141</v>
      </c>
      <c r="AF150" s="58">
        <v>60</v>
      </c>
      <c r="AG150" s="58">
        <v>1.67</v>
      </c>
      <c r="AH150" s="58">
        <v>21.513858510523864</v>
      </c>
      <c r="AI150" s="58" t="s">
        <v>68</v>
      </c>
      <c r="AJ150" s="53" t="s">
        <v>41</v>
      </c>
      <c r="AK150" s="53" t="s">
        <v>41</v>
      </c>
      <c r="AL150" s="53" t="s">
        <v>38</v>
      </c>
      <c r="AM150" s="53" t="s">
        <v>41</v>
      </c>
      <c r="AN150" s="53" t="s">
        <v>41</v>
      </c>
      <c r="AO150" s="53" t="s">
        <v>41</v>
      </c>
      <c r="AP150" s="53" t="s">
        <v>41</v>
      </c>
      <c r="AQ150" s="53" t="s">
        <v>41</v>
      </c>
      <c r="AR150" s="58">
        <v>2</v>
      </c>
      <c r="AS150" s="58">
        <v>2</v>
      </c>
    </row>
    <row r="151" spans="1:45" x14ac:dyDescent="0.3">
      <c r="A151" s="53" t="s">
        <v>527</v>
      </c>
      <c r="B151" s="58" t="s">
        <v>87</v>
      </c>
      <c r="C151" s="58">
        <v>24</v>
      </c>
      <c r="D151" s="63">
        <v>44868</v>
      </c>
      <c r="F151" s="58" t="s">
        <v>39</v>
      </c>
      <c r="G151" s="58">
        <v>37.200000000000003</v>
      </c>
      <c r="H151" s="58" t="s">
        <v>38</v>
      </c>
      <c r="I151" s="58" t="s">
        <v>43</v>
      </c>
      <c r="J151" s="58" t="s">
        <v>38</v>
      </c>
      <c r="K151" s="58" t="s">
        <v>51</v>
      </c>
      <c r="L151" s="58" t="s">
        <v>41</v>
      </c>
      <c r="M151" s="58"/>
      <c r="N151" s="58" t="s">
        <v>38</v>
      </c>
      <c r="O151" s="58" t="s">
        <v>51</v>
      </c>
      <c r="P151" s="58" t="s">
        <v>41</v>
      </c>
      <c r="Q151" s="58"/>
      <c r="R151" s="58" t="s">
        <v>41</v>
      </c>
      <c r="S151" s="58"/>
      <c r="T151" s="58" t="s">
        <v>41</v>
      </c>
      <c r="U151" s="58"/>
      <c r="V151" s="58" t="s">
        <v>530</v>
      </c>
      <c r="W151" s="58"/>
      <c r="AD151" s="58" t="s">
        <v>45</v>
      </c>
      <c r="AE151" s="58" t="s">
        <v>163</v>
      </c>
      <c r="AF151" s="58">
        <v>48</v>
      </c>
      <c r="AG151" s="58">
        <v>1.43</v>
      </c>
      <c r="AH151" s="58">
        <v>23.473030466037461</v>
      </c>
      <c r="AI151" s="58" t="s">
        <v>68</v>
      </c>
      <c r="AJ151" s="53" t="s">
        <v>38</v>
      </c>
      <c r="AK151" s="53" t="s">
        <v>41</v>
      </c>
      <c r="AL151" s="53" t="s">
        <v>41</v>
      </c>
      <c r="AM151" s="53" t="s">
        <v>41</v>
      </c>
      <c r="AN151" s="53" t="s">
        <v>41</v>
      </c>
      <c r="AO151" s="53" t="s">
        <v>41</v>
      </c>
      <c r="AP151" s="53" t="s">
        <v>41</v>
      </c>
      <c r="AQ151" s="53" t="s">
        <v>41</v>
      </c>
      <c r="AR151" s="58">
        <v>1</v>
      </c>
      <c r="AS151" s="58">
        <v>7</v>
      </c>
    </row>
    <row r="152" spans="1:45" x14ac:dyDescent="0.3">
      <c r="A152" s="53" t="s">
        <v>531</v>
      </c>
      <c r="B152" s="58" t="s">
        <v>87</v>
      </c>
      <c r="C152" s="58">
        <v>35</v>
      </c>
      <c r="D152" s="63">
        <v>44867</v>
      </c>
      <c r="F152" s="58" t="s">
        <v>39</v>
      </c>
      <c r="G152" s="58" t="s">
        <v>69</v>
      </c>
      <c r="H152" s="58" t="s">
        <v>38</v>
      </c>
      <c r="I152" s="58" t="s">
        <v>50</v>
      </c>
      <c r="J152" s="58" t="s">
        <v>38</v>
      </c>
      <c r="K152" s="58" t="s">
        <v>65</v>
      </c>
      <c r="L152" s="58" t="s">
        <v>38</v>
      </c>
      <c r="M152" s="58" t="s">
        <v>50</v>
      </c>
      <c r="N152" s="58" t="s">
        <v>38</v>
      </c>
      <c r="O152" s="58" t="s">
        <v>65</v>
      </c>
      <c r="P152" s="58" t="s">
        <v>41</v>
      </c>
      <c r="Q152" s="58"/>
      <c r="R152" s="58" t="s">
        <v>41</v>
      </c>
      <c r="S152" s="58"/>
      <c r="T152" s="58" t="s">
        <v>41</v>
      </c>
      <c r="U152" s="58"/>
      <c r="V152" s="58" t="s">
        <v>41</v>
      </c>
      <c r="W152" s="58"/>
      <c r="AD152" s="58" t="s">
        <v>57</v>
      </c>
      <c r="AE152" s="58" t="s">
        <v>537</v>
      </c>
      <c r="AF152" s="58">
        <v>45</v>
      </c>
      <c r="AG152" s="58">
        <v>1.5030000000000001</v>
      </c>
      <c r="AH152" s="58">
        <v>19.920239361596167</v>
      </c>
      <c r="AI152" s="58" t="s">
        <v>37</v>
      </c>
      <c r="AJ152" s="53" t="s">
        <v>41</v>
      </c>
      <c r="AK152" s="53" t="s">
        <v>41</v>
      </c>
      <c r="AL152" s="53" t="s">
        <v>41</v>
      </c>
      <c r="AM152" s="53" t="s">
        <v>41</v>
      </c>
      <c r="AN152" s="53" t="s">
        <v>41</v>
      </c>
      <c r="AO152" s="53" t="s">
        <v>41</v>
      </c>
      <c r="AP152" s="53" t="s">
        <v>41</v>
      </c>
      <c r="AQ152" s="53" t="s">
        <v>41</v>
      </c>
      <c r="AR152" s="58">
        <v>1</v>
      </c>
      <c r="AS152" s="58">
        <v>3</v>
      </c>
    </row>
    <row r="153" spans="1:45" x14ac:dyDescent="0.3">
      <c r="A153" s="53" t="s">
        <v>534</v>
      </c>
      <c r="B153" s="58"/>
      <c r="C153" s="58">
        <v>24</v>
      </c>
      <c r="D153" s="63">
        <v>44867</v>
      </c>
      <c r="F153" s="58" t="s">
        <v>39</v>
      </c>
      <c r="G153" s="58" t="s">
        <v>69</v>
      </c>
      <c r="H153" s="58" t="s">
        <v>38</v>
      </c>
      <c r="I153" s="58" t="s">
        <v>65</v>
      </c>
      <c r="J153" s="58" t="s">
        <v>38</v>
      </c>
      <c r="K153" s="58" t="s">
        <v>65</v>
      </c>
      <c r="L153" s="58" t="s">
        <v>38</v>
      </c>
      <c r="M153" s="58" t="s">
        <v>43</v>
      </c>
      <c r="N153" s="58" t="s">
        <v>38</v>
      </c>
      <c r="O153" s="58" t="s">
        <v>43</v>
      </c>
      <c r="P153" s="58" t="s">
        <v>41</v>
      </c>
      <c r="Q153" s="58"/>
      <c r="R153" s="58" t="s">
        <v>38</v>
      </c>
      <c r="S153" s="58" t="s">
        <v>43</v>
      </c>
      <c r="T153" s="58" t="s">
        <v>41</v>
      </c>
      <c r="U153" s="58"/>
      <c r="V153" s="58" t="s">
        <v>41</v>
      </c>
      <c r="W153" s="58"/>
      <c r="AD153" s="58" t="s">
        <v>45</v>
      </c>
      <c r="AE153" s="58" t="s">
        <v>71</v>
      </c>
      <c r="AF153" s="58">
        <v>47</v>
      </c>
      <c r="AG153" s="58">
        <v>1.5549999999999999</v>
      </c>
      <c r="AH153" s="58">
        <v>19.437350730451509</v>
      </c>
      <c r="AI153" s="58" t="s">
        <v>68</v>
      </c>
      <c r="AJ153" s="53" t="s">
        <v>41</v>
      </c>
      <c r="AK153" s="53" t="s">
        <v>41</v>
      </c>
      <c r="AL153" s="53" t="s">
        <v>41</v>
      </c>
      <c r="AM153" s="53" t="s">
        <v>41</v>
      </c>
      <c r="AN153" s="53" t="s">
        <v>41</v>
      </c>
      <c r="AO153" s="53" t="s">
        <v>41</v>
      </c>
      <c r="AP153" s="53" t="s">
        <v>41</v>
      </c>
      <c r="AQ153" s="53" t="s">
        <v>41</v>
      </c>
      <c r="AR153" s="58">
        <v>4</v>
      </c>
      <c r="AS153" s="58">
        <v>4</v>
      </c>
    </row>
    <row r="154" spans="1:45" x14ac:dyDescent="0.3">
      <c r="A154" s="53" t="s">
        <v>538</v>
      </c>
      <c r="B154" s="58" t="s">
        <v>36</v>
      </c>
      <c r="C154" s="58">
        <v>36</v>
      </c>
      <c r="D154" s="63">
        <v>44866</v>
      </c>
      <c r="F154" s="58" t="s">
        <v>39</v>
      </c>
      <c r="G154" s="58">
        <v>36.700000000000003</v>
      </c>
      <c r="H154" s="58" t="s">
        <v>38</v>
      </c>
      <c r="I154" s="58" t="s">
        <v>103</v>
      </c>
      <c r="J154" s="58" t="s">
        <v>38</v>
      </c>
      <c r="K154" s="58" t="s">
        <v>103</v>
      </c>
      <c r="L154" s="58" t="s">
        <v>38</v>
      </c>
      <c r="M154" s="58" t="s">
        <v>541</v>
      </c>
      <c r="N154" s="58" t="s">
        <v>41</v>
      </c>
      <c r="O154" s="58"/>
      <c r="P154" s="58" t="s">
        <v>41</v>
      </c>
      <c r="Q154" s="58"/>
      <c r="R154" s="58" t="s">
        <v>41</v>
      </c>
      <c r="S154" s="58"/>
      <c r="T154" s="58" t="s">
        <v>41</v>
      </c>
      <c r="U154" s="58"/>
      <c r="V154" s="58" t="s">
        <v>41</v>
      </c>
      <c r="W154" s="58"/>
      <c r="AD154" s="58" t="s">
        <v>172</v>
      </c>
      <c r="AE154" s="58" t="s">
        <v>118</v>
      </c>
      <c r="AF154" s="58">
        <v>47</v>
      </c>
      <c r="AG154" s="58">
        <v>1.69</v>
      </c>
      <c r="AH154" s="58">
        <v>16.456006442351459</v>
      </c>
      <c r="AI154" s="58" t="s">
        <v>68</v>
      </c>
      <c r="AJ154" s="53" t="s">
        <v>41</v>
      </c>
      <c r="AK154" s="53" t="s">
        <v>41</v>
      </c>
      <c r="AL154" s="53" t="s">
        <v>38</v>
      </c>
      <c r="AM154" s="53" t="s">
        <v>38</v>
      </c>
      <c r="AN154" s="53" t="s">
        <v>41</v>
      </c>
      <c r="AO154" s="53" t="s">
        <v>41</v>
      </c>
      <c r="AP154" s="53" t="s">
        <v>41</v>
      </c>
      <c r="AQ154" s="53" t="s">
        <v>41</v>
      </c>
      <c r="AR154" s="58">
        <v>4</v>
      </c>
      <c r="AS154" s="58">
        <v>1</v>
      </c>
    </row>
    <row r="155" spans="1:45" x14ac:dyDescent="0.3">
      <c r="A155" s="53" t="s">
        <v>542</v>
      </c>
      <c r="B155" s="58" t="s">
        <v>36</v>
      </c>
      <c r="C155" s="58">
        <v>32</v>
      </c>
      <c r="D155" s="63">
        <v>44861</v>
      </c>
      <c r="F155" s="58" t="s">
        <v>39</v>
      </c>
      <c r="G155" s="58">
        <v>37.299999999999997</v>
      </c>
      <c r="H155" s="58" t="s">
        <v>38</v>
      </c>
      <c r="I155" s="58" t="s">
        <v>65</v>
      </c>
      <c r="J155" s="58" t="s">
        <v>38</v>
      </c>
      <c r="K155" s="58" t="s">
        <v>43</v>
      </c>
      <c r="L155" s="58" t="s">
        <v>38</v>
      </c>
      <c r="M155" s="58" t="s">
        <v>65</v>
      </c>
      <c r="N155" s="58" t="s">
        <v>38</v>
      </c>
      <c r="O155" s="58" t="s">
        <v>43</v>
      </c>
      <c r="P155" s="58" t="s">
        <v>41</v>
      </c>
      <c r="Q155" s="58"/>
      <c r="R155" s="58" t="s">
        <v>38</v>
      </c>
      <c r="S155" s="58" t="s">
        <v>43</v>
      </c>
      <c r="T155" s="58" t="s">
        <v>41</v>
      </c>
      <c r="U155" s="58"/>
      <c r="V155" s="58" t="s">
        <v>544</v>
      </c>
      <c r="W155" s="58"/>
      <c r="AD155" s="58" t="s">
        <v>45</v>
      </c>
      <c r="AE155" s="58" t="s">
        <v>547</v>
      </c>
      <c r="AF155" s="58">
        <v>56</v>
      </c>
      <c r="AG155" s="58">
        <v>1.35</v>
      </c>
      <c r="AH155" s="58">
        <v>30.72702331961591</v>
      </c>
      <c r="AI155" s="58" t="s">
        <v>69</v>
      </c>
      <c r="AJ155" s="53" t="s">
        <v>41</v>
      </c>
      <c r="AK155" s="53" t="s">
        <v>41</v>
      </c>
      <c r="AL155" s="53" t="s">
        <v>41</v>
      </c>
      <c r="AM155" s="53" t="s">
        <v>38</v>
      </c>
      <c r="AN155" s="53" t="s">
        <v>41</v>
      </c>
      <c r="AO155" s="53" t="s">
        <v>41</v>
      </c>
      <c r="AP155" s="53" t="s">
        <v>41</v>
      </c>
      <c r="AQ155" s="53" t="s">
        <v>41</v>
      </c>
      <c r="AR155" s="58">
        <v>2</v>
      </c>
      <c r="AS155" s="58">
        <v>2</v>
      </c>
    </row>
    <row r="156" spans="1:45" x14ac:dyDescent="0.3">
      <c r="A156" s="53" t="s">
        <v>545</v>
      </c>
      <c r="B156" s="58" t="s">
        <v>36</v>
      </c>
      <c r="C156" s="58">
        <v>48</v>
      </c>
      <c r="D156" s="63">
        <v>44860</v>
      </c>
      <c r="F156" s="58" t="s">
        <v>39</v>
      </c>
      <c r="G156" s="58">
        <v>36.700000000000003</v>
      </c>
      <c r="H156" s="58" t="s">
        <v>38</v>
      </c>
      <c r="I156" s="58" t="s">
        <v>65</v>
      </c>
      <c r="J156" s="58" t="s">
        <v>38</v>
      </c>
      <c r="K156" s="58" t="s">
        <v>65</v>
      </c>
      <c r="L156" s="58" t="s">
        <v>38</v>
      </c>
      <c r="M156" s="58" t="s">
        <v>65</v>
      </c>
      <c r="N156" s="58" t="s">
        <v>38</v>
      </c>
      <c r="O156" s="58" t="s">
        <v>65</v>
      </c>
      <c r="P156" s="58" t="s">
        <v>41</v>
      </c>
      <c r="Q156" s="58"/>
      <c r="R156" s="58" t="s">
        <v>38</v>
      </c>
      <c r="S156" s="58" t="s">
        <v>43</v>
      </c>
      <c r="T156" s="58" t="s">
        <v>38</v>
      </c>
      <c r="U156" s="58" t="s">
        <v>51</v>
      </c>
      <c r="V156" s="58" t="s">
        <v>41</v>
      </c>
      <c r="W156" s="58"/>
      <c r="AD156" s="58" t="s">
        <v>72</v>
      </c>
      <c r="AE156" s="58" t="s">
        <v>118</v>
      </c>
      <c r="AF156" s="58">
        <v>52</v>
      </c>
      <c r="AG156" s="58">
        <v>1.72</v>
      </c>
      <c r="AH156" s="58">
        <v>17.577068685776098</v>
      </c>
      <c r="AI156" s="58" t="s">
        <v>68</v>
      </c>
      <c r="AJ156" s="53" t="s">
        <v>38</v>
      </c>
      <c r="AK156" s="53" t="s">
        <v>41</v>
      </c>
      <c r="AL156" s="53" t="s">
        <v>38</v>
      </c>
      <c r="AM156" s="53" t="s">
        <v>41</v>
      </c>
      <c r="AN156" s="53" t="s">
        <v>41</v>
      </c>
      <c r="AO156" s="53" t="s">
        <v>41</v>
      </c>
      <c r="AP156" s="53" t="s">
        <v>41</v>
      </c>
      <c r="AQ156" s="53" t="s">
        <v>41</v>
      </c>
      <c r="AR156" s="58">
        <v>4</v>
      </c>
      <c r="AS156" s="58">
        <v>1</v>
      </c>
    </row>
    <row r="157" spans="1:45" x14ac:dyDescent="0.3">
      <c r="A157" s="53" t="s">
        <v>548</v>
      </c>
      <c r="B157" s="58" t="s">
        <v>36</v>
      </c>
      <c r="C157" s="58">
        <v>38</v>
      </c>
      <c r="D157" s="63">
        <v>44855</v>
      </c>
      <c r="F157" s="58" t="s">
        <v>39</v>
      </c>
      <c r="G157" s="58">
        <v>37.200000000000003</v>
      </c>
      <c r="H157" s="58" t="s">
        <v>38</v>
      </c>
      <c r="I157" s="58" t="s">
        <v>132</v>
      </c>
      <c r="J157" s="58" t="s">
        <v>38</v>
      </c>
      <c r="K157" s="58" t="s">
        <v>132</v>
      </c>
      <c r="L157" s="58" t="s">
        <v>38</v>
      </c>
      <c r="M157" s="58" t="s">
        <v>132</v>
      </c>
      <c r="N157" s="58" t="s">
        <v>38</v>
      </c>
      <c r="O157" s="58" t="s">
        <v>50</v>
      </c>
      <c r="P157" s="58" t="s">
        <v>41</v>
      </c>
      <c r="Q157" s="58"/>
      <c r="R157" s="58" t="s">
        <v>41</v>
      </c>
      <c r="S157" s="58"/>
      <c r="T157" s="58" t="s">
        <v>41</v>
      </c>
      <c r="U157" s="58"/>
      <c r="V157" s="58" t="s">
        <v>294</v>
      </c>
      <c r="W157" s="58"/>
      <c r="AD157" s="58" t="s">
        <v>99</v>
      </c>
      <c r="AE157" s="58" t="s">
        <v>118</v>
      </c>
      <c r="AF157" s="58">
        <v>57</v>
      </c>
      <c r="AG157" s="58">
        <v>1.66</v>
      </c>
      <c r="AH157" s="58">
        <v>20.685150239512268</v>
      </c>
      <c r="AI157" s="58" t="s">
        <v>69</v>
      </c>
      <c r="AJ157" s="53" t="s">
        <v>38</v>
      </c>
      <c r="AK157" s="53" t="s">
        <v>41</v>
      </c>
      <c r="AL157" s="53" t="s">
        <v>38</v>
      </c>
      <c r="AM157" s="53" t="s">
        <v>38</v>
      </c>
      <c r="AN157" s="53" t="s">
        <v>41</v>
      </c>
      <c r="AO157" s="53" t="s">
        <v>41</v>
      </c>
      <c r="AP157" s="53" t="s">
        <v>41</v>
      </c>
      <c r="AQ157" s="53" t="s">
        <v>41</v>
      </c>
      <c r="AR157" s="58">
        <v>3</v>
      </c>
      <c r="AS157" s="58">
        <v>1</v>
      </c>
    </row>
    <row r="158" spans="1:45" x14ac:dyDescent="0.3">
      <c r="A158" s="53" t="s">
        <v>550</v>
      </c>
      <c r="B158" s="58" t="s">
        <v>36</v>
      </c>
      <c r="C158" s="58">
        <v>38</v>
      </c>
      <c r="D158" s="63">
        <v>44854</v>
      </c>
      <c r="F158" s="58" t="s">
        <v>39</v>
      </c>
      <c r="G158" s="58">
        <v>37.1</v>
      </c>
      <c r="H158" s="58" t="s">
        <v>38</v>
      </c>
      <c r="I158" s="58" t="s">
        <v>65</v>
      </c>
      <c r="J158" s="58" t="s">
        <v>38</v>
      </c>
      <c r="K158" s="58" t="s">
        <v>65</v>
      </c>
      <c r="L158" s="58" t="s">
        <v>38</v>
      </c>
      <c r="M158" s="58" t="s">
        <v>65</v>
      </c>
      <c r="N158" s="58" t="s">
        <v>38</v>
      </c>
      <c r="O158" s="58" t="s">
        <v>65</v>
      </c>
      <c r="P158" s="58" t="s">
        <v>38</v>
      </c>
      <c r="Q158" s="58" t="s">
        <v>65</v>
      </c>
      <c r="R158" s="58" t="s">
        <v>38</v>
      </c>
      <c r="S158" s="58" t="s">
        <v>65</v>
      </c>
      <c r="T158" s="58" t="s">
        <v>41</v>
      </c>
      <c r="U158" s="58"/>
      <c r="V158" s="58" t="s">
        <v>41</v>
      </c>
      <c r="W158" s="58"/>
      <c r="AD158" s="58" t="s">
        <v>72</v>
      </c>
      <c r="AE158" s="58" t="s">
        <v>69</v>
      </c>
      <c r="AF158" s="58">
        <v>52</v>
      </c>
      <c r="AG158" s="58">
        <v>1.85</v>
      </c>
      <c r="AH158" s="58">
        <v>15.193571950328705</v>
      </c>
      <c r="AI158" s="58" t="s">
        <v>68</v>
      </c>
      <c r="AJ158" s="53" t="s">
        <v>41</v>
      </c>
      <c r="AK158" s="53" t="s">
        <v>41</v>
      </c>
      <c r="AL158" s="53" t="s">
        <v>38</v>
      </c>
      <c r="AM158" s="53" t="s">
        <v>38</v>
      </c>
      <c r="AN158" s="53" t="s">
        <v>41</v>
      </c>
      <c r="AO158" s="53" t="s">
        <v>41</v>
      </c>
      <c r="AP158" s="53" t="s">
        <v>41</v>
      </c>
      <c r="AQ158" s="53" t="s">
        <v>41</v>
      </c>
      <c r="AR158" s="58">
        <v>3</v>
      </c>
      <c r="AS158" s="58">
        <v>1</v>
      </c>
    </row>
    <row r="159" spans="1:45" x14ac:dyDescent="0.3">
      <c r="A159" s="53" t="s">
        <v>553</v>
      </c>
      <c r="B159" s="58" t="s">
        <v>36</v>
      </c>
      <c r="C159" s="58">
        <v>20</v>
      </c>
      <c r="D159" s="63">
        <v>44852</v>
      </c>
      <c r="F159" s="58" t="s">
        <v>39</v>
      </c>
      <c r="G159" s="58">
        <v>36.700000000000003</v>
      </c>
      <c r="H159" s="58" t="s">
        <v>38</v>
      </c>
      <c r="I159" s="58" t="s">
        <v>43</v>
      </c>
      <c r="J159" s="58" t="s">
        <v>41</v>
      </c>
      <c r="K159" s="58"/>
      <c r="L159" s="58" t="s">
        <v>38</v>
      </c>
      <c r="M159" s="58" t="s">
        <v>43</v>
      </c>
      <c r="N159" s="58" t="s">
        <v>41</v>
      </c>
      <c r="O159" s="58"/>
      <c r="P159" s="58" t="s">
        <v>41</v>
      </c>
      <c r="Q159" s="58"/>
      <c r="R159" s="58" t="s">
        <v>38</v>
      </c>
      <c r="S159" s="58" t="s">
        <v>51</v>
      </c>
      <c r="T159" s="58" t="s">
        <v>41</v>
      </c>
      <c r="U159" s="58"/>
      <c r="V159" s="58" t="s">
        <v>41</v>
      </c>
      <c r="W159" s="58"/>
      <c r="AD159" s="58" t="s">
        <v>99</v>
      </c>
      <c r="AE159" s="58" t="s">
        <v>118</v>
      </c>
      <c r="AF159" s="58">
        <v>49.5</v>
      </c>
      <c r="AG159" s="58">
        <v>1.66</v>
      </c>
      <c r="AH159" s="58">
        <v>17.9634199448396</v>
      </c>
      <c r="AI159" s="58" t="s">
        <v>68</v>
      </c>
      <c r="AJ159" s="53" t="s">
        <v>41</v>
      </c>
      <c r="AK159" s="53" t="s">
        <v>41</v>
      </c>
      <c r="AL159" s="53" t="s">
        <v>41</v>
      </c>
      <c r="AM159" s="53" t="s">
        <v>41</v>
      </c>
      <c r="AN159" s="53" t="s">
        <v>41</v>
      </c>
      <c r="AO159" s="53" t="s">
        <v>41</v>
      </c>
      <c r="AP159" s="53" t="s">
        <v>41</v>
      </c>
      <c r="AQ159" s="53" t="s">
        <v>41</v>
      </c>
      <c r="AR159" s="58">
        <v>1</v>
      </c>
      <c r="AS159" s="58">
        <v>1</v>
      </c>
    </row>
    <row r="160" spans="1:45" x14ac:dyDescent="0.3">
      <c r="A160" s="53" t="s">
        <v>555</v>
      </c>
      <c r="B160" s="58" t="s">
        <v>36</v>
      </c>
      <c r="C160" s="58">
        <v>42</v>
      </c>
      <c r="D160" s="63">
        <v>44852</v>
      </c>
      <c r="F160" s="58" t="s">
        <v>39</v>
      </c>
      <c r="G160" s="58">
        <v>36.700000000000003</v>
      </c>
      <c r="H160" s="58" t="s">
        <v>38</v>
      </c>
      <c r="I160" s="58" t="s">
        <v>65</v>
      </c>
      <c r="J160" s="58" t="s">
        <v>41</v>
      </c>
      <c r="K160" s="58"/>
      <c r="L160" s="58" t="s">
        <v>38</v>
      </c>
      <c r="M160" s="58" t="s">
        <v>43</v>
      </c>
      <c r="N160" s="58" t="s">
        <v>38</v>
      </c>
      <c r="O160" s="58" t="s">
        <v>65</v>
      </c>
      <c r="P160" s="58" t="s">
        <v>41</v>
      </c>
      <c r="Q160" s="58"/>
      <c r="R160" s="58" t="s">
        <v>38</v>
      </c>
      <c r="S160" s="58" t="s">
        <v>43</v>
      </c>
      <c r="T160" s="58" t="s">
        <v>41</v>
      </c>
      <c r="U160" s="58"/>
      <c r="V160" s="58" t="s">
        <v>41</v>
      </c>
      <c r="W160" s="58"/>
      <c r="AD160" s="58" t="s">
        <v>99</v>
      </c>
      <c r="AE160" s="58" t="s">
        <v>118</v>
      </c>
      <c r="AF160" s="58">
        <v>48</v>
      </c>
      <c r="AG160" s="58">
        <v>1.64</v>
      </c>
      <c r="AH160" s="58">
        <v>17.846519928613922</v>
      </c>
      <c r="AI160" s="58" t="s">
        <v>68</v>
      </c>
      <c r="AJ160" s="53" t="s">
        <v>38</v>
      </c>
      <c r="AK160" s="53" t="s">
        <v>41</v>
      </c>
      <c r="AL160" s="53" t="s">
        <v>41</v>
      </c>
      <c r="AM160" s="53" t="s">
        <v>41</v>
      </c>
      <c r="AN160" s="53" t="s">
        <v>41</v>
      </c>
      <c r="AO160" s="53" t="s">
        <v>41</v>
      </c>
      <c r="AP160" s="53" t="s">
        <v>41</v>
      </c>
      <c r="AQ160" s="53" t="s">
        <v>41</v>
      </c>
      <c r="AR160" s="58">
        <v>2</v>
      </c>
      <c r="AS160" s="58">
        <v>1</v>
      </c>
    </row>
    <row r="161" spans="1:45" x14ac:dyDescent="0.3">
      <c r="A161" s="53" t="s">
        <v>558</v>
      </c>
      <c r="B161" s="58" t="s">
        <v>36</v>
      </c>
      <c r="C161" s="58">
        <v>22</v>
      </c>
      <c r="D161" s="63">
        <v>44852</v>
      </c>
      <c r="F161" s="58" t="s">
        <v>39</v>
      </c>
      <c r="G161" s="58">
        <v>36.799999999999997</v>
      </c>
      <c r="H161" s="58" t="s">
        <v>38</v>
      </c>
      <c r="I161" s="58" t="s">
        <v>65</v>
      </c>
      <c r="J161" s="58" t="s">
        <v>38</v>
      </c>
      <c r="K161" s="58" t="s">
        <v>65</v>
      </c>
      <c r="L161" s="58" t="s">
        <v>38</v>
      </c>
      <c r="M161" s="58" t="s">
        <v>43</v>
      </c>
      <c r="N161" s="58" t="s">
        <v>38</v>
      </c>
      <c r="O161" s="58" t="s">
        <v>43</v>
      </c>
      <c r="P161" s="58" t="s">
        <v>38</v>
      </c>
      <c r="Q161" s="58" t="s">
        <v>65</v>
      </c>
      <c r="R161" s="58" t="s">
        <v>38</v>
      </c>
      <c r="S161" s="58" t="s">
        <v>65</v>
      </c>
      <c r="T161" s="58" t="s">
        <v>41</v>
      </c>
      <c r="U161" s="58"/>
      <c r="V161" s="58" t="s">
        <v>371</v>
      </c>
      <c r="W161" s="58"/>
      <c r="AD161" s="58" t="s">
        <v>57</v>
      </c>
      <c r="AE161" s="58" t="s">
        <v>79</v>
      </c>
      <c r="AF161" s="58">
        <v>49.5</v>
      </c>
      <c r="AG161" s="58">
        <v>1.56</v>
      </c>
      <c r="AH161" s="58">
        <v>20.340236686390529</v>
      </c>
      <c r="AI161" s="58" t="s">
        <v>68</v>
      </c>
      <c r="AJ161" s="53" t="s">
        <v>41</v>
      </c>
      <c r="AK161" s="53" t="s">
        <v>41</v>
      </c>
      <c r="AL161" s="53" t="s">
        <v>38</v>
      </c>
      <c r="AM161" s="53" t="s">
        <v>41</v>
      </c>
      <c r="AN161" s="53" t="s">
        <v>41</v>
      </c>
      <c r="AO161" s="53" t="s">
        <v>41</v>
      </c>
      <c r="AP161" s="53" t="s">
        <v>41</v>
      </c>
      <c r="AQ161" s="53" t="s">
        <v>41</v>
      </c>
      <c r="AR161" s="58">
        <v>1</v>
      </c>
      <c r="AS161" s="58">
        <v>1</v>
      </c>
    </row>
    <row r="162" spans="1:45" x14ac:dyDescent="0.3">
      <c r="A162" s="53" t="s">
        <v>560</v>
      </c>
      <c r="B162" s="58" t="s">
        <v>36</v>
      </c>
      <c r="C162" s="58">
        <v>20</v>
      </c>
      <c r="D162" s="63">
        <v>44852</v>
      </c>
      <c r="F162" s="58" t="s">
        <v>39</v>
      </c>
      <c r="G162" s="58">
        <v>36.700000000000003</v>
      </c>
      <c r="H162" s="58" t="s">
        <v>38</v>
      </c>
      <c r="I162" s="58" t="s">
        <v>132</v>
      </c>
      <c r="J162" s="58" t="s">
        <v>38</v>
      </c>
      <c r="K162" s="58" t="s">
        <v>43</v>
      </c>
      <c r="L162" s="58" t="s">
        <v>38</v>
      </c>
      <c r="M162" s="58" t="s">
        <v>43</v>
      </c>
      <c r="N162" s="58" t="s">
        <v>41</v>
      </c>
      <c r="O162" s="58"/>
      <c r="P162" s="58" t="s">
        <v>38</v>
      </c>
      <c r="Q162" s="58" t="s">
        <v>51</v>
      </c>
      <c r="R162" s="58" t="s">
        <v>38</v>
      </c>
      <c r="S162" s="58" t="s">
        <v>43</v>
      </c>
      <c r="T162" s="58" t="s">
        <v>41</v>
      </c>
      <c r="U162" s="58"/>
      <c r="V162" s="58" t="s">
        <v>41</v>
      </c>
      <c r="W162" s="58"/>
      <c r="AD162" s="58" t="s">
        <v>61</v>
      </c>
      <c r="AE162" s="58" t="s">
        <v>118</v>
      </c>
      <c r="AF162" s="58">
        <v>51</v>
      </c>
      <c r="AG162" s="58">
        <v>1.53</v>
      </c>
      <c r="AH162" s="58">
        <v>21.786492374727668</v>
      </c>
      <c r="AI162" s="58" t="s">
        <v>68</v>
      </c>
      <c r="AJ162" s="53" t="s">
        <v>41</v>
      </c>
      <c r="AK162" s="53" t="s">
        <v>41</v>
      </c>
      <c r="AL162" s="53" t="s">
        <v>41</v>
      </c>
      <c r="AM162" s="53" t="s">
        <v>41</v>
      </c>
      <c r="AN162" s="53" t="s">
        <v>38</v>
      </c>
      <c r="AO162" s="53" t="s">
        <v>69</v>
      </c>
      <c r="AP162" s="53" t="s">
        <v>69</v>
      </c>
      <c r="AQ162" s="53" t="s">
        <v>41</v>
      </c>
      <c r="AR162" s="58">
        <v>7</v>
      </c>
      <c r="AS162" s="58">
        <v>7</v>
      </c>
    </row>
    <row r="163" spans="1:45" x14ac:dyDescent="0.3">
      <c r="A163" s="53" t="s">
        <v>562</v>
      </c>
      <c r="B163" s="58" t="s">
        <v>36</v>
      </c>
      <c r="C163" s="58">
        <v>33</v>
      </c>
      <c r="D163" s="63">
        <v>44851</v>
      </c>
      <c r="F163" s="58" t="s">
        <v>39</v>
      </c>
      <c r="G163" s="58">
        <v>36</v>
      </c>
      <c r="H163" s="58" t="s">
        <v>38</v>
      </c>
      <c r="I163" s="58" t="s">
        <v>65</v>
      </c>
      <c r="J163" s="58" t="s">
        <v>41</v>
      </c>
      <c r="K163" s="58"/>
      <c r="L163" s="58" t="s">
        <v>38</v>
      </c>
      <c r="M163" s="58" t="s">
        <v>51</v>
      </c>
      <c r="N163" s="58" t="s">
        <v>38</v>
      </c>
      <c r="O163" s="58" t="s">
        <v>43</v>
      </c>
      <c r="P163" s="58" t="s">
        <v>38</v>
      </c>
      <c r="Q163" s="58" t="s">
        <v>43</v>
      </c>
      <c r="R163" s="58" t="s">
        <v>38</v>
      </c>
      <c r="S163" s="58" t="s">
        <v>65</v>
      </c>
      <c r="T163" s="58" t="s">
        <v>41</v>
      </c>
      <c r="U163" s="58"/>
      <c r="V163" s="58" t="s">
        <v>564</v>
      </c>
      <c r="W163" s="58"/>
      <c r="AD163" s="58" t="s">
        <v>172</v>
      </c>
      <c r="AE163" s="58" t="s">
        <v>118</v>
      </c>
      <c r="AF163" s="58">
        <v>56</v>
      </c>
      <c r="AG163" s="58">
        <v>1.7</v>
      </c>
      <c r="AH163" s="58">
        <v>19.377162629757787</v>
      </c>
      <c r="AI163" s="58" t="s">
        <v>68</v>
      </c>
      <c r="AJ163" s="53" t="s">
        <v>41</v>
      </c>
      <c r="AK163" s="53" t="s">
        <v>41</v>
      </c>
      <c r="AL163" s="53" t="s">
        <v>38</v>
      </c>
      <c r="AM163" s="53" t="s">
        <v>38</v>
      </c>
      <c r="AN163" s="53" t="s">
        <v>565</v>
      </c>
      <c r="AO163" s="53">
        <v>44287</v>
      </c>
      <c r="AP163" s="53" t="s">
        <v>38</v>
      </c>
      <c r="AQ163" s="53" t="s">
        <v>41</v>
      </c>
      <c r="AR163" s="58">
        <v>3</v>
      </c>
      <c r="AS163" s="58">
        <v>1</v>
      </c>
    </row>
    <row r="164" spans="1:45" x14ac:dyDescent="0.3">
      <c r="A164" s="53" t="s">
        <v>566</v>
      </c>
      <c r="B164" s="58" t="s">
        <v>36</v>
      </c>
      <c r="C164" s="58">
        <v>39</v>
      </c>
      <c r="D164" s="63">
        <v>44851</v>
      </c>
      <c r="F164" s="58" t="s">
        <v>39</v>
      </c>
      <c r="G164" s="58">
        <v>36.700000000000003</v>
      </c>
      <c r="H164" s="58" t="s">
        <v>38</v>
      </c>
      <c r="I164" s="58" t="s">
        <v>43</v>
      </c>
      <c r="J164" s="58" t="s">
        <v>38</v>
      </c>
      <c r="K164" s="58" t="s">
        <v>43</v>
      </c>
      <c r="L164" s="58" t="s">
        <v>38</v>
      </c>
      <c r="M164" s="58" t="s">
        <v>43</v>
      </c>
      <c r="N164" s="58" t="s">
        <v>38</v>
      </c>
      <c r="O164" s="58" t="s">
        <v>43</v>
      </c>
      <c r="P164" s="58" t="s">
        <v>41</v>
      </c>
      <c r="Q164" s="58"/>
      <c r="R164" s="58" t="s">
        <v>38</v>
      </c>
      <c r="S164" s="58" t="s">
        <v>43</v>
      </c>
      <c r="T164" s="58" t="s">
        <v>38</v>
      </c>
      <c r="U164" s="58" t="s">
        <v>228</v>
      </c>
      <c r="V164" s="58" t="s">
        <v>371</v>
      </c>
      <c r="W164" s="58"/>
      <c r="AD164" s="58" t="s">
        <v>57</v>
      </c>
      <c r="AE164" s="58" t="s">
        <v>118</v>
      </c>
      <c r="AF164" s="58">
        <v>43</v>
      </c>
      <c r="AG164" s="58">
        <v>1.59</v>
      </c>
      <c r="AH164" s="58">
        <v>17.008820853605474</v>
      </c>
      <c r="AI164" s="58" t="s">
        <v>68</v>
      </c>
      <c r="AJ164" s="53" t="s">
        <v>41</v>
      </c>
      <c r="AK164" s="53" t="s">
        <v>41</v>
      </c>
      <c r="AL164" s="53" t="s">
        <v>41</v>
      </c>
      <c r="AM164" s="53" t="s">
        <v>41</v>
      </c>
      <c r="AN164" s="53" t="s">
        <v>41</v>
      </c>
      <c r="AO164" s="53" t="s">
        <v>41</v>
      </c>
      <c r="AP164" s="53" t="s">
        <v>41</v>
      </c>
      <c r="AQ164" s="53" t="s">
        <v>41</v>
      </c>
      <c r="AR164" s="58">
        <v>1</v>
      </c>
      <c r="AS164" s="58">
        <v>1</v>
      </c>
    </row>
    <row r="165" spans="1:45" x14ac:dyDescent="0.3">
      <c r="A165" s="53" t="s">
        <v>569</v>
      </c>
      <c r="B165" s="58" t="s">
        <v>87</v>
      </c>
      <c r="C165" s="58">
        <v>38</v>
      </c>
      <c r="D165" s="63">
        <v>44851</v>
      </c>
      <c r="F165" s="58" t="s">
        <v>39</v>
      </c>
      <c r="G165" s="58">
        <v>37.200000000000003</v>
      </c>
      <c r="H165" s="58" t="s">
        <v>38</v>
      </c>
      <c r="I165" s="58" t="s">
        <v>65</v>
      </c>
      <c r="J165" s="58" t="s">
        <v>41</v>
      </c>
      <c r="K165" s="58"/>
      <c r="L165" s="58" t="s">
        <v>38</v>
      </c>
      <c r="M165" s="58" t="s">
        <v>110</v>
      </c>
      <c r="N165" s="58" t="s">
        <v>38</v>
      </c>
      <c r="O165" s="58" t="s">
        <v>110</v>
      </c>
      <c r="P165" s="58" t="s">
        <v>41</v>
      </c>
      <c r="Q165" s="58"/>
      <c r="R165" s="58" t="s">
        <v>38</v>
      </c>
      <c r="S165" s="58" t="s">
        <v>110</v>
      </c>
      <c r="T165" s="58" t="s">
        <v>41</v>
      </c>
      <c r="U165" s="58"/>
      <c r="V165" s="58" t="s">
        <v>41</v>
      </c>
      <c r="W165" s="58"/>
      <c r="AD165" s="58" t="s">
        <v>45</v>
      </c>
      <c r="AE165" s="58" t="s">
        <v>174</v>
      </c>
      <c r="AF165" s="58">
        <v>53</v>
      </c>
      <c r="AG165" s="58">
        <v>1.62</v>
      </c>
      <c r="AH165" s="58">
        <v>20.195092211553114</v>
      </c>
      <c r="AI165" s="58" t="s">
        <v>68</v>
      </c>
      <c r="AJ165" s="53" t="s">
        <v>41</v>
      </c>
      <c r="AK165" s="53" t="s">
        <v>41</v>
      </c>
      <c r="AL165" s="53" t="s">
        <v>41</v>
      </c>
      <c r="AM165" s="53" t="s">
        <v>41</v>
      </c>
      <c r="AN165" s="53" t="s">
        <v>41</v>
      </c>
      <c r="AO165" s="53" t="s">
        <v>41</v>
      </c>
      <c r="AP165" s="53" t="s">
        <v>41</v>
      </c>
      <c r="AQ165" s="53" t="s">
        <v>41</v>
      </c>
      <c r="AR165" s="58">
        <v>5</v>
      </c>
      <c r="AS165" s="58">
        <v>1</v>
      </c>
    </row>
    <row r="166" spans="1:45" x14ac:dyDescent="0.3">
      <c r="A166" s="53" t="s">
        <v>571</v>
      </c>
      <c r="B166" s="58" t="s">
        <v>87</v>
      </c>
      <c r="C166" s="58">
        <v>23</v>
      </c>
      <c r="D166" s="63">
        <v>44568</v>
      </c>
      <c r="F166" s="58" t="s">
        <v>39</v>
      </c>
      <c r="G166" s="58">
        <v>35</v>
      </c>
      <c r="H166" s="58" t="s">
        <v>38</v>
      </c>
      <c r="I166" s="58" t="s">
        <v>55</v>
      </c>
      <c r="J166" s="58" t="s">
        <v>38</v>
      </c>
      <c r="K166" s="58" t="s">
        <v>65</v>
      </c>
      <c r="L166" s="58" t="s">
        <v>38</v>
      </c>
      <c r="M166" s="58" t="s">
        <v>55</v>
      </c>
      <c r="N166" s="58" t="s">
        <v>38</v>
      </c>
      <c r="O166" s="58" t="s">
        <v>103</v>
      </c>
      <c r="P166" s="58" t="s">
        <v>38</v>
      </c>
      <c r="Q166" s="58" t="s">
        <v>114</v>
      </c>
      <c r="R166" s="58" t="s">
        <v>38</v>
      </c>
      <c r="S166" s="58" t="s">
        <v>51</v>
      </c>
      <c r="T166" s="58" t="s">
        <v>41</v>
      </c>
      <c r="U166" s="58"/>
      <c r="V166" s="58" t="s">
        <v>41</v>
      </c>
      <c r="W166" s="58"/>
      <c r="AD166" s="58" t="s">
        <v>72</v>
      </c>
      <c r="AE166" s="58" t="s">
        <v>115</v>
      </c>
      <c r="AF166" s="73" t="s">
        <v>69</v>
      </c>
      <c r="AG166" s="58" t="s">
        <v>69</v>
      </c>
      <c r="AH166" s="58" t="e">
        <v>#VALUE!</v>
      </c>
      <c r="AI166" s="58" t="s">
        <v>68</v>
      </c>
      <c r="AJ166" s="53" t="s">
        <v>41</v>
      </c>
      <c r="AK166" s="53" t="s">
        <v>41</v>
      </c>
      <c r="AL166" s="53" t="s">
        <v>41</v>
      </c>
      <c r="AM166" s="53" t="s">
        <v>41</v>
      </c>
      <c r="AN166" s="53" t="s">
        <v>41</v>
      </c>
      <c r="AO166" s="53" t="s">
        <v>41</v>
      </c>
      <c r="AP166" s="53" t="s">
        <v>41</v>
      </c>
      <c r="AQ166" s="53" t="s">
        <v>41</v>
      </c>
      <c r="AR166" s="58">
        <v>4</v>
      </c>
      <c r="AS166" s="58">
        <v>2</v>
      </c>
    </row>
    <row r="167" spans="1:45" x14ac:dyDescent="0.3">
      <c r="A167" s="53" t="s">
        <v>574</v>
      </c>
      <c r="B167" s="58" t="s">
        <v>36</v>
      </c>
      <c r="C167" s="58">
        <v>18</v>
      </c>
      <c r="D167" s="63">
        <v>44876</v>
      </c>
      <c r="E167" s="53" t="s">
        <v>961</v>
      </c>
      <c r="F167" s="58" t="s">
        <v>39</v>
      </c>
      <c r="G167" s="58">
        <v>36</v>
      </c>
      <c r="H167" s="58" t="s">
        <v>38</v>
      </c>
      <c r="I167" s="58" t="s">
        <v>103</v>
      </c>
      <c r="J167" s="58" t="s">
        <v>38</v>
      </c>
      <c r="K167" s="58" t="s">
        <v>51</v>
      </c>
      <c r="L167" s="58" t="s">
        <v>38</v>
      </c>
      <c r="M167" s="58" t="s">
        <v>336</v>
      </c>
      <c r="N167" s="58" t="s">
        <v>38</v>
      </c>
      <c r="O167" s="58" t="s">
        <v>336</v>
      </c>
      <c r="P167" s="58" t="s">
        <v>41</v>
      </c>
      <c r="Q167" s="58"/>
      <c r="R167" s="58" t="s">
        <v>41</v>
      </c>
      <c r="S167" s="58"/>
      <c r="T167" s="58" t="s">
        <v>41</v>
      </c>
      <c r="U167" s="58"/>
      <c r="V167" s="58" t="s">
        <v>41</v>
      </c>
      <c r="W167" s="58"/>
      <c r="AD167" s="58" t="s">
        <v>99</v>
      </c>
      <c r="AE167" s="58" t="s">
        <v>79</v>
      </c>
      <c r="AF167" s="58">
        <v>59</v>
      </c>
      <c r="AG167" s="73">
        <v>1.86</v>
      </c>
      <c r="AH167" s="58">
        <v>17.053994681466062</v>
      </c>
      <c r="AI167" s="73" t="s">
        <v>69</v>
      </c>
      <c r="AJ167" s="53" t="s">
        <v>41</v>
      </c>
      <c r="AK167" s="53" t="s">
        <v>41</v>
      </c>
      <c r="AL167" s="53" t="s">
        <v>41</v>
      </c>
      <c r="AM167" s="53" t="s">
        <v>41</v>
      </c>
      <c r="AN167" s="53" t="s">
        <v>41</v>
      </c>
      <c r="AO167" s="53" t="s">
        <v>41</v>
      </c>
      <c r="AP167" s="53" t="s">
        <v>41</v>
      </c>
      <c r="AQ167" s="53" t="s">
        <v>41</v>
      </c>
      <c r="AR167" s="58">
        <v>3</v>
      </c>
      <c r="AS167" s="58">
        <v>2</v>
      </c>
    </row>
    <row r="168" spans="1:45" x14ac:dyDescent="0.3">
      <c r="A168" s="53" t="s">
        <v>577</v>
      </c>
      <c r="B168" s="58" t="s">
        <v>36</v>
      </c>
      <c r="C168" s="58">
        <v>44</v>
      </c>
      <c r="D168" s="63">
        <v>44880</v>
      </c>
      <c r="F168" s="58" t="s">
        <v>39</v>
      </c>
      <c r="G168" s="58">
        <v>36</v>
      </c>
      <c r="H168" s="58" t="s">
        <v>38</v>
      </c>
      <c r="I168" s="58" t="s">
        <v>65</v>
      </c>
      <c r="J168" s="58" t="s">
        <v>38</v>
      </c>
      <c r="K168" s="58" t="s">
        <v>43</v>
      </c>
      <c r="L168" s="58" t="s">
        <v>38</v>
      </c>
      <c r="M168" s="58" t="s">
        <v>55</v>
      </c>
      <c r="N168" s="58" t="s">
        <v>38</v>
      </c>
      <c r="O168" s="58" t="s">
        <v>65</v>
      </c>
      <c r="P168" s="58" t="s">
        <v>41</v>
      </c>
      <c r="Q168" s="58"/>
      <c r="R168" s="58" t="s">
        <v>38</v>
      </c>
      <c r="S168" s="58" t="s">
        <v>65</v>
      </c>
      <c r="T168" s="58" t="s">
        <v>41</v>
      </c>
      <c r="U168" s="58"/>
      <c r="V168" s="58" t="s">
        <v>41</v>
      </c>
      <c r="W168" s="58"/>
      <c r="AD168" s="58" t="s">
        <v>57</v>
      </c>
      <c r="AE168" s="58" t="s">
        <v>174</v>
      </c>
      <c r="AF168" s="58">
        <v>56</v>
      </c>
      <c r="AG168" s="58">
        <v>1.69</v>
      </c>
      <c r="AH168" s="58">
        <v>19.607156612163443</v>
      </c>
      <c r="AI168" s="73" t="s">
        <v>69</v>
      </c>
      <c r="AJ168" s="53" t="s">
        <v>41</v>
      </c>
      <c r="AK168" s="53" t="s">
        <v>41</v>
      </c>
      <c r="AL168" s="53" t="s">
        <v>38</v>
      </c>
      <c r="AM168" s="53" t="s">
        <v>38</v>
      </c>
      <c r="AN168" s="53" t="s">
        <v>41</v>
      </c>
      <c r="AO168" s="53" t="s">
        <v>41</v>
      </c>
      <c r="AP168" s="53" t="s">
        <v>41</v>
      </c>
      <c r="AQ168" s="53" t="s">
        <v>41</v>
      </c>
      <c r="AR168" s="58">
        <v>3</v>
      </c>
      <c r="AS168" s="58">
        <v>1</v>
      </c>
    </row>
    <row r="169" spans="1:45" x14ac:dyDescent="0.3">
      <c r="A169" s="53" t="s">
        <v>580</v>
      </c>
      <c r="B169" s="58" t="s">
        <v>36</v>
      </c>
      <c r="C169" s="58">
        <v>23</v>
      </c>
      <c r="D169" s="63">
        <v>44881</v>
      </c>
      <c r="F169" s="58" t="s">
        <v>39</v>
      </c>
      <c r="G169" s="58">
        <v>36</v>
      </c>
      <c r="H169" s="58" t="s">
        <v>38</v>
      </c>
      <c r="I169" s="58" t="s">
        <v>51</v>
      </c>
      <c r="J169" s="58" t="s">
        <v>41</v>
      </c>
      <c r="K169" s="58"/>
      <c r="L169" s="58" t="s">
        <v>38</v>
      </c>
      <c r="M169" s="58" t="s">
        <v>157</v>
      </c>
      <c r="N169" s="58" t="s">
        <v>38</v>
      </c>
      <c r="O169" s="58" t="s">
        <v>43</v>
      </c>
      <c r="P169" s="58" t="s">
        <v>41</v>
      </c>
      <c r="Q169" s="58"/>
      <c r="R169" s="58" t="s">
        <v>38</v>
      </c>
      <c r="S169" s="58" t="s">
        <v>51</v>
      </c>
      <c r="T169" s="58" t="s">
        <v>41</v>
      </c>
      <c r="U169" s="58"/>
      <c r="V169" s="58" t="s">
        <v>41</v>
      </c>
      <c r="W169" s="58"/>
      <c r="AD169" s="58" t="s">
        <v>57</v>
      </c>
      <c r="AE169" s="58" t="s">
        <v>79</v>
      </c>
      <c r="AF169" s="58">
        <v>61</v>
      </c>
      <c r="AG169" s="58">
        <v>1.72</v>
      </c>
      <c r="AH169" s="58">
        <v>20.61925365062196</v>
      </c>
      <c r="AI169" s="58" t="s">
        <v>188</v>
      </c>
      <c r="AJ169" s="53" t="s">
        <v>41</v>
      </c>
      <c r="AK169" s="53" t="s">
        <v>41</v>
      </c>
      <c r="AL169" s="53" t="s">
        <v>38</v>
      </c>
      <c r="AM169" s="53" t="s">
        <v>41</v>
      </c>
      <c r="AN169" s="53" t="s">
        <v>41</v>
      </c>
      <c r="AO169" s="53" t="s">
        <v>41</v>
      </c>
      <c r="AP169" s="53" t="s">
        <v>41</v>
      </c>
      <c r="AQ169" s="53" t="s">
        <v>41</v>
      </c>
      <c r="AR169" s="58">
        <v>3</v>
      </c>
      <c r="AS169" s="58">
        <v>1</v>
      </c>
    </row>
    <row r="170" spans="1:45" x14ac:dyDescent="0.3">
      <c r="A170" s="53" t="s">
        <v>862</v>
      </c>
      <c r="B170" s="58" t="s">
        <v>36</v>
      </c>
      <c r="C170" s="58">
        <v>45</v>
      </c>
      <c r="D170" s="63">
        <v>44860</v>
      </c>
      <c r="E170" s="53" t="s">
        <v>963</v>
      </c>
      <c r="F170" s="58" t="s">
        <v>39</v>
      </c>
      <c r="G170" s="58">
        <v>37</v>
      </c>
      <c r="H170" s="58" t="s">
        <v>38</v>
      </c>
      <c r="I170" s="58" t="s">
        <v>51</v>
      </c>
      <c r="J170" s="58" t="s">
        <v>38</v>
      </c>
      <c r="K170" s="58" t="s">
        <v>51</v>
      </c>
      <c r="L170" s="58" t="s">
        <v>38</v>
      </c>
      <c r="M170" s="58" t="s">
        <v>65</v>
      </c>
      <c r="N170" s="58" t="s">
        <v>41</v>
      </c>
      <c r="O170" s="58"/>
      <c r="P170" s="58" t="s">
        <v>41</v>
      </c>
      <c r="Q170" s="58"/>
      <c r="R170" s="58" t="s">
        <v>41</v>
      </c>
      <c r="S170" s="58"/>
      <c r="T170" s="58" t="s">
        <v>41</v>
      </c>
      <c r="U170" s="58"/>
      <c r="V170" s="58" t="s">
        <v>41</v>
      </c>
      <c r="W170" s="58"/>
      <c r="AD170" s="58" t="s">
        <v>172</v>
      </c>
      <c r="AE170" s="58" t="s">
        <v>79</v>
      </c>
      <c r="AF170" s="58">
        <v>38</v>
      </c>
      <c r="AG170" s="58">
        <v>1.77</v>
      </c>
      <c r="AH170" s="58">
        <v>12.129337035973059</v>
      </c>
      <c r="AI170" s="58" t="s">
        <v>188</v>
      </c>
      <c r="AJ170" s="53" t="s">
        <v>41</v>
      </c>
      <c r="AK170" s="53" t="s">
        <v>41</v>
      </c>
      <c r="AL170" s="53" t="s">
        <v>41</v>
      </c>
      <c r="AM170" s="53" t="s">
        <v>38</v>
      </c>
      <c r="AN170" s="53" t="s">
        <v>41</v>
      </c>
      <c r="AO170" s="53" t="s">
        <v>41</v>
      </c>
      <c r="AP170" s="53" t="s">
        <v>41</v>
      </c>
      <c r="AQ170" s="53" t="s">
        <v>41</v>
      </c>
      <c r="AR170" s="58">
        <v>1</v>
      </c>
      <c r="AS170" s="58">
        <v>1</v>
      </c>
    </row>
    <row r="171" spans="1:45" x14ac:dyDescent="0.3">
      <c r="A171" s="53" t="s">
        <v>586</v>
      </c>
      <c r="B171" s="58" t="s">
        <v>87</v>
      </c>
      <c r="C171" s="58">
        <v>18</v>
      </c>
      <c r="D171" s="63">
        <v>44868</v>
      </c>
      <c r="E171" s="53" t="s">
        <v>964</v>
      </c>
      <c r="F171" s="58" t="s">
        <v>39</v>
      </c>
      <c r="G171" s="58">
        <v>37</v>
      </c>
      <c r="H171" s="58" t="s">
        <v>38</v>
      </c>
      <c r="I171" s="58" t="s">
        <v>162</v>
      </c>
      <c r="J171" s="58" t="s">
        <v>41</v>
      </c>
      <c r="K171" s="58"/>
      <c r="L171" s="58" t="s">
        <v>41</v>
      </c>
      <c r="M171" s="58"/>
      <c r="N171" s="58" t="s">
        <v>41</v>
      </c>
      <c r="O171" s="58"/>
      <c r="P171" s="58" t="s">
        <v>38</v>
      </c>
      <c r="Q171" s="58" t="s">
        <v>55</v>
      </c>
      <c r="R171" s="58" t="s">
        <v>38</v>
      </c>
      <c r="S171" s="58" t="s">
        <v>55</v>
      </c>
      <c r="T171" s="58" t="s">
        <v>41</v>
      </c>
      <c r="U171" s="58"/>
      <c r="V171" s="58" t="s">
        <v>41</v>
      </c>
      <c r="W171" s="58"/>
      <c r="AD171" s="58" t="s">
        <v>72</v>
      </c>
      <c r="AE171" s="58" t="s">
        <v>592</v>
      </c>
      <c r="AF171" s="58">
        <v>58</v>
      </c>
      <c r="AG171" s="58">
        <v>1.6469999999999998</v>
      </c>
      <c r="AH171" s="58">
        <v>21.381629272777616</v>
      </c>
      <c r="AI171" s="58" t="s">
        <v>188</v>
      </c>
      <c r="AJ171" s="53" t="s">
        <v>41</v>
      </c>
      <c r="AK171" s="53" t="s">
        <v>41</v>
      </c>
      <c r="AL171" s="53" t="s">
        <v>41</v>
      </c>
      <c r="AM171" s="53" t="s">
        <v>41</v>
      </c>
      <c r="AN171" s="53" t="s">
        <v>41</v>
      </c>
      <c r="AO171" s="53" t="s">
        <v>41</v>
      </c>
      <c r="AP171" s="53" t="s">
        <v>41</v>
      </c>
      <c r="AQ171" s="53" t="s">
        <v>41</v>
      </c>
      <c r="AR171" s="58">
        <v>6</v>
      </c>
      <c r="AS171" s="58">
        <v>3</v>
      </c>
    </row>
    <row r="172" spans="1:45" x14ac:dyDescent="0.3">
      <c r="A172" s="53" t="s">
        <v>589</v>
      </c>
      <c r="B172" s="58" t="s">
        <v>36</v>
      </c>
      <c r="C172" s="58">
        <v>27</v>
      </c>
      <c r="D172" s="63">
        <v>44936</v>
      </c>
      <c r="E172" s="53" t="s">
        <v>961</v>
      </c>
      <c r="F172" s="58" t="s">
        <v>39</v>
      </c>
      <c r="G172" s="58">
        <v>37</v>
      </c>
      <c r="H172" s="58" t="s">
        <v>38</v>
      </c>
      <c r="I172" s="58" t="s">
        <v>50</v>
      </c>
      <c r="J172" s="58" t="s">
        <v>38</v>
      </c>
      <c r="K172" s="58" t="s">
        <v>43</v>
      </c>
      <c r="L172" s="58" t="s">
        <v>38</v>
      </c>
      <c r="M172" s="58" t="s">
        <v>43</v>
      </c>
      <c r="N172" s="58" t="s">
        <v>38</v>
      </c>
      <c r="O172" s="58" t="s">
        <v>52</v>
      </c>
      <c r="P172" s="58" t="s">
        <v>38</v>
      </c>
      <c r="Q172" s="58" t="s">
        <v>53</v>
      </c>
      <c r="R172" s="58" t="s">
        <v>38</v>
      </c>
      <c r="S172" s="58" t="s">
        <v>55</v>
      </c>
      <c r="T172" s="58" t="s">
        <v>38</v>
      </c>
      <c r="U172" s="58" t="s">
        <v>51</v>
      </c>
      <c r="V172" s="58"/>
      <c r="W172" s="58"/>
      <c r="X172" s="53" t="s">
        <v>964</v>
      </c>
      <c r="Y172" s="53" t="s">
        <v>966</v>
      </c>
      <c r="AD172" s="58" t="s">
        <v>57</v>
      </c>
      <c r="AE172" s="58" t="s">
        <v>94</v>
      </c>
      <c r="AF172" s="58">
        <v>57</v>
      </c>
      <c r="AG172" s="58">
        <v>1.75</v>
      </c>
      <c r="AH172" s="58">
        <v>18.612244897959183</v>
      </c>
      <c r="AI172" s="58" t="s">
        <v>68</v>
      </c>
      <c r="AJ172" s="53" t="s">
        <v>41</v>
      </c>
      <c r="AK172" s="53" t="s">
        <v>41</v>
      </c>
      <c r="AL172" s="53" t="s">
        <v>38</v>
      </c>
      <c r="AM172" s="53" t="s">
        <v>41</v>
      </c>
      <c r="AN172" s="53" t="s">
        <v>41</v>
      </c>
      <c r="AO172" s="53" t="s">
        <v>41</v>
      </c>
      <c r="AP172" s="53" t="s">
        <v>41</v>
      </c>
      <c r="AQ172" s="53" t="s">
        <v>41</v>
      </c>
      <c r="AR172" s="58">
        <v>10</v>
      </c>
      <c r="AS172" s="58">
        <v>4</v>
      </c>
    </row>
    <row r="173" spans="1:45" x14ac:dyDescent="0.3">
      <c r="A173" s="53" t="s">
        <v>593</v>
      </c>
      <c r="B173" s="58" t="s">
        <v>36</v>
      </c>
      <c r="C173" s="58">
        <v>43</v>
      </c>
      <c r="D173" s="63">
        <v>44868</v>
      </c>
      <c r="E173" s="53" t="s">
        <v>961</v>
      </c>
      <c r="F173" s="58" t="s">
        <v>39</v>
      </c>
      <c r="G173" s="58">
        <v>37</v>
      </c>
      <c r="H173" s="58" t="s">
        <v>38</v>
      </c>
      <c r="I173" s="58" t="s">
        <v>55</v>
      </c>
      <c r="J173" s="58" t="s">
        <v>41</v>
      </c>
      <c r="K173" s="58"/>
      <c r="L173" s="58" t="s">
        <v>41</v>
      </c>
      <c r="M173" s="58"/>
      <c r="N173" s="58" t="s">
        <v>41</v>
      </c>
      <c r="O173" s="58"/>
      <c r="P173" s="58" t="s">
        <v>41</v>
      </c>
      <c r="Q173" s="58"/>
      <c r="R173" s="58" t="s">
        <v>104</v>
      </c>
      <c r="S173" s="58" t="s">
        <v>43</v>
      </c>
      <c r="T173" s="58" t="s">
        <v>41</v>
      </c>
      <c r="U173" s="58"/>
      <c r="V173" s="58" t="s">
        <v>41</v>
      </c>
      <c r="W173" s="58"/>
      <c r="X173" s="53" t="s">
        <v>964</v>
      </c>
      <c r="Y173" s="53" t="s">
        <v>966</v>
      </c>
      <c r="AD173" s="58" t="s">
        <v>72</v>
      </c>
      <c r="AE173" s="58" t="s">
        <v>174</v>
      </c>
      <c r="AF173" s="58">
        <v>68</v>
      </c>
      <c r="AG173" s="58">
        <v>1.7</v>
      </c>
      <c r="AH173" s="58">
        <v>23.529411764705884</v>
      </c>
      <c r="AI173" s="58" t="s">
        <v>37</v>
      </c>
      <c r="AJ173" s="53" t="s">
        <v>41</v>
      </c>
      <c r="AK173" s="53" t="s">
        <v>41</v>
      </c>
      <c r="AL173" s="53" t="s">
        <v>41</v>
      </c>
      <c r="AM173" s="53" t="s">
        <v>38</v>
      </c>
      <c r="AN173" s="53" t="s">
        <v>41</v>
      </c>
      <c r="AO173" s="53" t="s">
        <v>41</v>
      </c>
      <c r="AP173" s="53" t="s">
        <v>41</v>
      </c>
      <c r="AQ173" s="53" t="s">
        <v>41</v>
      </c>
      <c r="AR173" s="58">
        <v>1</v>
      </c>
      <c r="AS173" s="58">
        <v>1</v>
      </c>
    </row>
    <row r="174" spans="1:45" x14ac:dyDescent="0.3">
      <c r="A174" s="53" t="s">
        <v>597</v>
      </c>
      <c r="B174" s="58" t="s">
        <v>36</v>
      </c>
      <c r="C174" s="58">
        <v>40</v>
      </c>
      <c r="D174" s="63">
        <v>44878</v>
      </c>
      <c r="F174" s="58" t="s">
        <v>39</v>
      </c>
      <c r="G174" s="58">
        <v>37</v>
      </c>
      <c r="H174" s="58" t="s">
        <v>38</v>
      </c>
      <c r="I174" s="58" t="s">
        <v>150</v>
      </c>
      <c r="J174" s="58" t="s">
        <v>38</v>
      </c>
      <c r="K174" s="58" t="s">
        <v>150</v>
      </c>
      <c r="L174" s="58" t="s">
        <v>38</v>
      </c>
      <c r="M174" s="58" t="s">
        <v>64</v>
      </c>
      <c r="N174" s="58" t="s">
        <v>38</v>
      </c>
      <c r="O174" s="58" t="s">
        <v>150</v>
      </c>
      <c r="P174" s="58" t="s">
        <v>38</v>
      </c>
      <c r="Q174" s="58" t="s">
        <v>65</v>
      </c>
      <c r="R174" s="58" t="s">
        <v>38</v>
      </c>
      <c r="S174" s="58" t="s">
        <v>65</v>
      </c>
      <c r="T174" s="58" t="s">
        <v>41</v>
      </c>
      <c r="U174" s="58"/>
      <c r="V174" s="58" t="s">
        <v>41</v>
      </c>
      <c r="W174" s="58"/>
      <c r="AD174" s="58" t="s">
        <v>172</v>
      </c>
      <c r="AE174" s="58" t="s">
        <v>79</v>
      </c>
      <c r="AF174" s="58">
        <v>49</v>
      </c>
      <c r="AG174" s="58">
        <v>1.58</v>
      </c>
      <c r="AH174" s="58">
        <v>19.62826470116968</v>
      </c>
      <c r="AI174" s="58" t="s">
        <v>69</v>
      </c>
      <c r="AJ174" s="53" t="s">
        <v>41</v>
      </c>
      <c r="AK174" s="53" t="s">
        <v>41</v>
      </c>
      <c r="AL174" s="53" t="s">
        <v>38</v>
      </c>
      <c r="AM174" s="53" t="s">
        <v>41</v>
      </c>
      <c r="AN174" s="53" t="s">
        <v>41</v>
      </c>
      <c r="AO174" s="53" t="s">
        <v>41</v>
      </c>
      <c r="AP174" s="53" t="s">
        <v>41</v>
      </c>
      <c r="AQ174" s="53" t="s">
        <v>41</v>
      </c>
      <c r="AR174" s="58">
        <v>1</v>
      </c>
      <c r="AS174" s="58">
        <v>1</v>
      </c>
    </row>
    <row r="175" spans="1:45" x14ac:dyDescent="0.3">
      <c r="A175" s="53" t="s">
        <v>600</v>
      </c>
      <c r="B175" s="58" t="s">
        <v>36</v>
      </c>
      <c r="C175" s="58">
        <v>25</v>
      </c>
      <c r="D175" s="63">
        <v>44860</v>
      </c>
      <c r="F175" s="58" t="s">
        <v>39</v>
      </c>
      <c r="G175" s="58">
        <v>35.700000000000003</v>
      </c>
      <c r="H175" s="58" t="s">
        <v>38</v>
      </c>
      <c r="I175" s="58" t="s">
        <v>132</v>
      </c>
      <c r="J175" s="58" t="s">
        <v>38</v>
      </c>
      <c r="K175" s="58" t="s">
        <v>53</v>
      </c>
      <c r="L175" s="58" t="s">
        <v>41</v>
      </c>
      <c r="M175" s="58"/>
      <c r="N175" s="58" t="s">
        <v>38</v>
      </c>
      <c r="O175" s="58" t="s">
        <v>228</v>
      </c>
      <c r="P175" s="58" t="s">
        <v>41</v>
      </c>
      <c r="Q175" s="58"/>
      <c r="R175" s="58" t="s">
        <v>41</v>
      </c>
      <c r="S175" s="58"/>
      <c r="T175" s="58" t="s">
        <v>41</v>
      </c>
      <c r="U175" s="58"/>
      <c r="V175" s="58" t="s">
        <v>41</v>
      </c>
      <c r="W175" s="58"/>
      <c r="AD175" s="58" t="s">
        <v>172</v>
      </c>
      <c r="AE175" s="58" t="s">
        <v>141</v>
      </c>
      <c r="AF175" s="58">
        <v>54</v>
      </c>
      <c r="AG175" s="58">
        <v>1.31</v>
      </c>
      <c r="AH175" s="58">
        <v>31.466697744886659</v>
      </c>
      <c r="AI175" s="58" t="s">
        <v>188</v>
      </c>
      <c r="AJ175" s="53" t="s">
        <v>41</v>
      </c>
      <c r="AK175" s="53" t="s">
        <v>41</v>
      </c>
      <c r="AL175" s="53" t="s">
        <v>41</v>
      </c>
      <c r="AM175" s="53" t="s">
        <v>41</v>
      </c>
      <c r="AN175" s="53" t="s">
        <v>41</v>
      </c>
      <c r="AO175" s="53" t="s">
        <v>41</v>
      </c>
      <c r="AP175" s="53" t="s">
        <v>41</v>
      </c>
      <c r="AQ175" s="53" t="s">
        <v>41</v>
      </c>
      <c r="AR175" s="58">
        <v>2</v>
      </c>
      <c r="AS175" s="58">
        <v>1</v>
      </c>
    </row>
    <row r="176" spans="1:45" x14ac:dyDescent="0.3">
      <c r="A176" s="53" t="s">
        <v>603</v>
      </c>
      <c r="B176" s="58" t="s">
        <v>87</v>
      </c>
      <c r="C176" s="58">
        <v>26</v>
      </c>
      <c r="D176" s="63">
        <v>44868</v>
      </c>
      <c r="E176" s="53" t="s">
        <v>961</v>
      </c>
      <c r="F176" s="53" t="s">
        <v>961</v>
      </c>
      <c r="G176" s="53" t="s">
        <v>961</v>
      </c>
      <c r="H176" s="53" t="s">
        <v>961</v>
      </c>
      <c r="I176" s="53" t="s">
        <v>961</v>
      </c>
      <c r="J176" s="53" t="s">
        <v>961</v>
      </c>
      <c r="K176" s="53" t="s">
        <v>961</v>
      </c>
      <c r="L176" s="53" t="s">
        <v>961</v>
      </c>
      <c r="M176" s="53" t="s">
        <v>961</v>
      </c>
      <c r="N176" s="53" t="s">
        <v>961</v>
      </c>
      <c r="O176" s="53" t="s">
        <v>961</v>
      </c>
      <c r="P176" s="53" t="s">
        <v>961</v>
      </c>
      <c r="Q176" s="53" t="s">
        <v>961</v>
      </c>
      <c r="R176" s="53" t="s">
        <v>961</v>
      </c>
      <c r="S176" s="53" t="s">
        <v>961</v>
      </c>
      <c r="T176" s="53" t="s">
        <v>961</v>
      </c>
      <c r="U176" s="53" t="s">
        <v>961</v>
      </c>
      <c r="V176" s="53" t="s">
        <v>961</v>
      </c>
      <c r="W176" s="53" t="s">
        <v>961</v>
      </c>
      <c r="AD176" s="58" t="s">
        <v>172</v>
      </c>
      <c r="AE176" s="58" t="s">
        <v>118</v>
      </c>
      <c r="AF176" s="58">
        <v>59</v>
      </c>
      <c r="AG176" s="58">
        <v>1.6</v>
      </c>
      <c r="AH176" s="58">
        <v>23.046874999999996</v>
      </c>
      <c r="AI176" s="58" t="s">
        <v>188</v>
      </c>
      <c r="AJ176" s="53" t="s">
        <v>41</v>
      </c>
      <c r="AK176" s="53" t="s">
        <v>41</v>
      </c>
      <c r="AL176" s="53" t="s">
        <v>38</v>
      </c>
      <c r="AM176" s="53" t="s">
        <v>38</v>
      </c>
      <c r="AN176" s="53" t="s">
        <v>41</v>
      </c>
      <c r="AO176" s="53" t="s">
        <v>41</v>
      </c>
      <c r="AP176" s="53" t="s">
        <v>41</v>
      </c>
      <c r="AQ176" s="53" t="s">
        <v>41</v>
      </c>
      <c r="AR176" s="58">
        <v>2</v>
      </c>
      <c r="AS176" s="58">
        <v>1</v>
      </c>
    </row>
    <row r="177" spans="1:45" x14ac:dyDescent="0.3">
      <c r="A177" s="53" t="s">
        <v>606</v>
      </c>
      <c r="B177" s="58" t="s">
        <v>87</v>
      </c>
      <c r="C177" s="58">
        <v>29</v>
      </c>
      <c r="D177" s="63">
        <v>44873</v>
      </c>
      <c r="E177" s="53" t="s">
        <v>961</v>
      </c>
      <c r="F177" s="53" t="s">
        <v>961</v>
      </c>
      <c r="G177" s="53" t="s">
        <v>961</v>
      </c>
      <c r="H177" s="53" t="s">
        <v>961</v>
      </c>
      <c r="I177" s="53" t="s">
        <v>961</v>
      </c>
      <c r="J177" s="53" t="s">
        <v>961</v>
      </c>
      <c r="K177" s="53" t="s">
        <v>961</v>
      </c>
      <c r="L177" s="53" t="s">
        <v>961</v>
      </c>
      <c r="M177" s="53" t="s">
        <v>961</v>
      </c>
      <c r="N177" s="53" t="s">
        <v>961</v>
      </c>
      <c r="O177" s="53" t="s">
        <v>961</v>
      </c>
      <c r="P177" s="53" t="s">
        <v>961</v>
      </c>
      <c r="Q177" s="53" t="s">
        <v>961</v>
      </c>
      <c r="R177" s="53" t="s">
        <v>961</v>
      </c>
      <c r="S177" s="53" t="s">
        <v>961</v>
      </c>
      <c r="T177" s="53" t="s">
        <v>961</v>
      </c>
      <c r="U177" s="53" t="s">
        <v>961</v>
      </c>
      <c r="V177" s="53" t="s">
        <v>961</v>
      </c>
      <c r="W177" s="53" t="s">
        <v>961</v>
      </c>
      <c r="X177" s="53" t="s">
        <v>961</v>
      </c>
      <c r="Y177" s="53" t="s">
        <v>965</v>
      </c>
      <c r="Z177" s="53" t="s">
        <v>964</v>
      </c>
      <c r="AA177" s="53" t="s">
        <v>966</v>
      </c>
      <c r="AD177" s="58" t="s">
        <v>99</v>
      </c>
      <c r="AE177" s="58" t="s">
        <v>158</v>
      </c>
      <c r="AF177" s="58">
        <v>58</v>
      </c>
      <c r="AG177" s="58">
        <v>1.68</v>
      </c>
      <c r="AH177" s="58">
        <v>20.549886621315196</v>
      </c>
      <c r="AI177" s="58" t="s">
        <v>37</v>
      </c>
      <c r="AJ177" s="53" t="s">
        <v>41</v>
      </c>
      <c r="AK177" s="53" t="s">
        <v>41</v>
      </c>
      <c r="AL177" s="53" t="s">
        <v>41</v>
      </c>
      <c r="AM177" s="53" t="s">
        <v>41</v>
      </c>
      <c r="AN177" s="53" t="s">
        <v>41</v>
      </c>
      <c r="AO177" s="53" t="s">
        <v>41</v>
      </c>
      <c r="AP177" s="53" t="s">
        <v>41</v>
      </c>
      <c r="AQ177" s="53" t="s">
        <v>41</v>
      </c>
      <c r="AR177" s="58">
        <v>3</v>
      </c>
      <c r="AS177" s="58">
        <v>1</v>
      </c>
    </row>
    <row r="178" spans="1:45" x14ac:dyDescent="0.3">
      <c r="A178" s="53" t="s">
        <v>922</v>
      </c>
      <c r="B178" s="58" t="s">
        <v>36</v>
      </c>
      <c r="C178" s="58">
        <v>36</v>
      </c>
      <c r="D178" s="72">
        <v>44963</v>
      </c>
      <c r="F178" s="58" t="s">
        <v>359</v>
      </c>
      <c r="G178" s="58">
        <v>37</v>
      </c>
      <c r="H178" s="58" t="s">
        <v>38</v>
      </c>
      <c r="I178" s="58" t="s">
        <v>52</v>
      </c>
      <c r="J178" s="58" t="s">
        <v>38</v>
      </c>
      <c r="K178" s="58" t="s">
        <v>52</v>
      </c>
      <c r="L178" s="58" t="s">
        <v>38</v>
      </c>
      <c r="M178" s="58" t="s">
        <v>52</v>
      </c>
      <c r="N178" s="58" t="s">
        <v>38</v>
      </c>
      <c r="O178" s="58" t="s">
        <v>53</v>
      </c>
      <c r="P178" s="58" t="s">
        <v>41</v>
      </c>
      <c r="Q178" s="58"/>
      <c r="R178" s="58" t="s">
        <v>38</v>
      </c>
      <c r="S178" s="58" t="s">
        <v>52</v>
      </c>
      <c r="T178" s="58" t="s">
        <v>41</v>
      </c>
      <c r="U178" s="58"/>
      <c r="V178" s="58" t="s">
        <v>41</v>
      </c>
      <c r="W178" s="58"/>
      <c r="AD178" s="58" t="s">
        <v>45</v>
      </c>
      <c r="AE178" s="58" t="s">
        <v>115</v>
      </c>
      <c r="AF178" s="58">
        <v>57</v>
      </c>
      <c r="AG178" s="58">
        <v>1.79</v>
      </c>
      <c r="AH178" s="58">
        <v>17.789706937985706</v>
      </c>
      <c r="AI178" s="58" t="s">
        <v>68</v>
      </c>
      <c r="AJ178" s="53" t="s">
        <v>41</v>
      </c>
      <c r="AK178" s="53" t="s">
        <v>41</v>
      </c>
      <c r="AL178" s="53" t="s">
        <v>38</v>
      </c>
      <c r="AM178" s="53" t="s">
        <v>41</v>
      </c>
      <c r="AN178" s="53" t="s">
        <v>41</v>
      </c>
      <c r="AO178" s="53" t="s">
        <v>41</v>
      </c>
      <c r="AP178" s="53" t="s">
        <v>41</v>
      </c>
      <c r="AQ178" s="53" t="s">
        <v>41</v>
      </c>
      <c r="AR178" s="58">
        <v>4</v>
      </c>
      <c r="AS178" s="58">
        <v>1</v>
      </c>
    </row>
    <row r="179" spans="1:45" x14ac:dyDescent="0.3">
      <c r="A179" s="53" t="s">
        <v>609</v>
      </c>
      <c r="B179" s="58" t="s">
        <v>87</v>
      </c>
      <c r="C179" s="58">
        <v>19</v>
      </c>
      <c r="D179" s="63">
        <v>44705</v>
      </c>
      <c r="F179" s="58" t="s">
        <v>39</v>
      </c>
      <c r="G179" s="58" t="s">
        <v>69</v>
      </c>
      <c r="H179" s="58" t="s">
        <v>38</v>
      </c>
      <c r="I179" s="58" t="s">
        <v>65</v>
      </c>
      <c r="J179" s="58" t="s">
        <v>38</v>
      </c>
      <c r="K179" s="58" t="s">
        <v>43</v>
      </c>
      <c r="L179" s="58" t="s">
        <v>38</v>
      </c>
      <c r="M179" s="58" t="s">
        <v>43</v>
      </c>
      <c r="N179" s="58" t="s">
        <v>41</v>
      </c>
      <c r="O179" s="58"/>
      <c r="P179" s="58" t="s">
        <v>41</v>
      </c>
      <c r="Q179" s="58"/>
      <c r="R179" s="58" t="s">
        <v>38</v>
      </c>
      <c r="S179" s="58" t="s">
        <v>43</v>
      </c>
      <c r="T179" s="58" t="s">
        <v>38</v>
      </c>
      <c r="U179" s="58" t="s">
        <v>43</v>
      </c>
      <c r="V179" s="58" t="s">
        <v>41</v>
      </c>
      <c r="W179" s="58"/>
      <c r="AD179" s="58" t="s">
        <v>72</v>
      </c>
      <c r="AE179" s="58" t="s">
        <v>515</v>
      </c>
      <c r="AF179" s="58">
        <v>49</v>
      </c>
      <c r="AG179" s="58">
        <v>1.73</v>
      </c>
      <c r="AH179" s="58">
        <v>16.372080590731397</v>
      </c>
      <c r="AI179" s="58" t="s">
        <v>188</v>
      </c>
      <c r="AJ179" s="53" t="s">
        <v>41</v>
      </c>
      <c r="AK179" s="53" t="s">
        <v>41</v>
      </c>
      <c r="AL179" s="53" t="s">
        <v>41</v>
      </c>
      <c r="AM179" s="53" t="s">
        <v>41</v>
      </c>
      <c r="AN179" s="53" t="s">
        <v>41</v>
      </c>
      <c r="AO179" s="53" t="s">
        <v>41</v>
      </c>
      <c r="AP179" s="53" t="s">
        <v>41</v>
      </c>
      <c r="AQ179" s="53" t="s">
        <v>41</v>
      </c>
      <c r="AR179" s="58">
        <v>6</v>
      </c>
      <c r="AS179" s="58">
        <v>1</v>
      </c>
    </row>
    <row r="180" spans="1:45" x14ac:dyDescent="0.3">
      <c r="A180" s="53" t="s">
        <v>612</v>
      </c>
      <c r="B180" s="58" t="s">
        <v>36</v>
      </c>
      <c r="C180" s="58">
        <v>23</v>
      </c>
      <c r="D180" s="63">
        <v>44508</v>
      </c>
      <c r="F180" s="58" t="s">
        <v>39</v>
      </c>
      <c r="G180" s="58">
        <v>36.4</v>
      </c>
      <c r="H180" s="58" t="s">
        <v>38</v>
      </c>
      <c r="I180" s="58" t="s">
        <v>51</v>
      </c>
      <c r="J180" s="58" t="s">
        <v>41</v>
      </c>
      <c r="K180" s="58"/>
      <c r="L180" s="58" t="s">
        <v>38</v>
      </c>
      <c r="M180" s="58" t="s">
        <v>51</v>
      </c>
      <c r="N180" s="58" t="s">
        <v>41</v>
      </c>
      <c r="O180" s="58"/>
      <c r="P180" s="58" t="s">
        <v>38</v>
      </c>
      <c r="Q180" s="58" t="s">
        <v>53</v>
      </c>
      <c r="R180" s="58"/>
      <c r="S180" s="58"/>
      <c r="T180" s="58" t="s">
        <v>41</v>
      </c>
      <c r="U180" s="58"/>
      <c r="V180" s="58" t="s">
        <v>41</v>
      </c>
      <c r="W180" s="58"/>
      <c r="AD180" s="58" t="s">
        <v>72</v>
      </c>
      <c r="AE180" s="58"/>
      <c r="AF180" s="58">
        <v>50</v>
      </c>
      <c r="AG180" s="58">
        <v>1.56</v>
      </c>
      <c r="AH180" s="58">
        <v>20.5456936226167</v>
      </c>
      <c r="AI180" s="58" t="s">
        <v>68</v>
      </c>
      <c r="AJ180" s="53" t="s">
        <v>41</v>
      </c>
      <c r="AK180" s="53" t="s">
        <v>41</v>
      </c>
      <c r="AL180" s="53" t="s">
        <v>41</v>
      </c>
      <c r="AM180" s="53" t="s">
        <v>41</v>
      </c>
      <c r="AN180" s="53" t="s">
        <v>41</v>
      </c>
      <c r="AO180" s="53" t="s">
        <v>41</v>
      </c>
      <c r="AP180" s="53" t="s">
        <v>41</v>
      </c>
      <c r="AQ180" s="53" t="s">
        <v>41</v>
      </c>
      <c r="AR180" s="58">
        <v>1</v>
      </c>
      <c r="AS180" s="58">
        <v>1</v>
      </c>
    </row>
    <row r="181" spans="1:45" x14ac:dyDescent="0.3">
      <c r="A181" s="53" t="s">
        <v>863</v>
      </c>
      <c r="B181" s="58" t="s">
        <v>87</v>
      </c>
      <c r="C181" s="58">
        <v>26</v>
      </c>
      <c r="D181" s="63">
        <v>44509</v>
      </c>
      <c r="F181" s="58" t="s">
        <v>39</v>
      </c>
      <c r="G181" s="58">
        <v>36</v>
      </c>
      <c r="H181" s="58" t="s">
        <v>38</v>
      </c>
      <c r="I181" s="58" t="s">
        <v>77</v>
      </c>
      <c r="J181" s="58" t="s">
        <v>41</v>
      </c>
      <c r="K181" s="58" t="s">
        <v>78</v>
      </c>
      <c r="L181" s="58" t="s">
        <v>38</v>
      </c>
      <c r="M181" s="58" t="s">
        <v>82</v>
      </c>
      <c r="N181" s="58" t="s">
        <v>38</v>
      </c>
      <c r="O181" s="58" t="s">
        <v>82</v>
      </c>
      <c r="P181" s="58" t="s">
        <v>41</v>
      </c>
      <c r="Q181" s="58"/>
      <c r="R181" s="58" t="s">
        <v>41</v>
      </c>
      <c r="S181" s="58" t="s">
        <v>69</v>
      </c>
      <c r="T181" s="58" t="s">
        <v>41</v>
      </c>
      <c r="U181" s="58"/>
      <c r="V181" s="58"/>
      <c r="W181" s="58"/>
      <c r="AD181" s="58"/>
      <c r="AE181" s="58" t="s">
        <v>69</v>
      </c>
      <c r="AF181" s="58">
        <v>54.9</v>
      </c>
      <c r="AG181" s="58">
        <v>1.66</v>
      </c>
      <c r="AH181" s="58">
        <v>19.923065757003918</v>
      </c>
      <c r="AI181" s="58" t="s">
        <v>68</v>
      </c>
      <c r="AR181" s="58"/>
      <c r="AS181" s="58"/>
    </row>
    <row r="182" spans="1:45" x14ac:dyDescent="0.3">
      <c r="A182" s="53" t="s">
        <v>616</v>
      </c>
      <c r="B182" s="58" t="s">
        <v>36</v>
      </c>
      <c r="C182" s="58">
        <v>55</v>
      </c>
      <c r="D182" s="63">
        <v>44512</v>
      </c>
      <c r="F182" s="58" t="s">
        <v>39</v>
      </c>
      <c r="G182" s="58">
        <v>37.200000000000003</v>
      </c>
      <c r="H182" s="58" t="s">
        <v>38</v>
      </c>
      <c r="I182" s="58" t="s">
        <v>43</v>
      </c>
      <c r="J182" s="58" t="s">
        <v>41</v>
      </c>
      <c r="K182" s="58"/>
      <c r="L182" s="58" t="s">
        <v>38</v>
      </c>
      <c r="M182" s="58" t="s">
        <v>43</v>
      </c>
      <c r="N182" s="58"/>
      <c r="O182" s="58"/>
      <c r="P182" s="58" t="s">
        <v>41</v>
      </c>
      <c r="Q182" s="58"/>
      <c r="R182" s="58" t="s">
        <v>41</v>
      </c>
      <c r="S182" s="58"/>
      <c r="T182" s="58" t="s">
        <v>41</v>
      </c>
      <c r="U182" s="58"/>
      <c r="V182" s="58" t="s">
        <v>41</v>
      </c>
      <c r="W182" s="58"/>
      <c r="AD182" s="58" t="s">
        <v>99</v>
      </c>
      <c r="AE182" s="58" t="s">
        <v>79</v>
      </c>
      <c r="AF182" s="58">
        <v>43</v>
      </c>
      <c r="AG182" s="58" t="e">
        <v>#VALUE!</v>
      </c>
      <c r="AH182" s="58" t="e">
        <v>#VALUE!</v>
      </c>
      <c r="AI182" s="58" t="s">
        <v>68</v>
      </c>
      <c r="AJ182" s="53" t="s">
        <v>41</v>
      </c>
      <c r="AK182" s="53" t="s">
        <v>41</v>
      </c>
      <c r="AL182" s="53" t="s">
        <v>38</v>
      </c>
      <c r="AM182" s="53" t="s">
        <v>41</v>
      </c>
      <c r="AN182" s="53" t="s">
        <v>41</v>
      </c>
      <c r="AO182" s="53" t="s">
        <v>41</v>
      </c>
      <c r="AP182" s="53" t="s">
        <v>41</v>
      </c>
      <c r="AQ182" s="53" t="s">
        <v>41</v>
      </c>
      <c r="AR182" s="58">
        <v>1</v>
      </c>
      <c r="AS182" s="58">
        <v>3</v>
      </c>
    </row>
    <row r="183" spans="1:45" x14ac:dyDescent="0.3">
      <c r="A183" s="53" t="s">
        <v>864</v>
      </c>
      <c r="B183" s="58" t="s">
        <v>36</v>
      </c>
      <c r="C183" s="58">
        <v>54</v>
      </c>
      <c r="D183" s="65">
        <v>44650</v>
      </c>
      <c r="F183" s="58" t="s">
        <v>39</v>
      </c>
      <c r="G183" s="58">
        <v>36.700000000000003</v>
      </c>
      <c r="H183" s="58" t="s">
        <v>38</v>
      </c>
      <c r="I183" s="58" t="s">
        <v>70</v>
      </c>
      <c r="J183" s="58" t="s">
        <v>41</v>
      </c>
      <c r="K183" s="58" t="s">
        <v>69</v>
      </c>
      <c r="L183" s="58" t="s">
        <v>38</v>
      </c>
      <c r="M183" s="58" t="s">
        <v>620</v>
      </c>
      <c r="N183" s="58" t="s">
        <v>38</v>
      </c>
      <c r="O183" s="58" t="s">
        <v>82</v>
      </c>
      <c r="P183" s="58" t="s">
        <v>41</v>
      </c>
      <c r="Q183" s="58"/>
      <c r="R183" s="58" t="s">
        <v>41</v>
      </c>
      <c r="S183" s="58"/>
      <c r="T183" s="58" t="s">
        <v>41</v>
      </c>
      <c r="U183" s="58"/>
      <c r="V183" s="58" t="s">
        <v>41</v>
      </c>
      <c r="W183" s="58"/>
      <c r="AD183" s="58" t="s">
        <v>57</v>
      </c>
      <c r="AE183" s="58" t="s">
        <v>115</v>
      </c>
      <c r="AF183" s="58">
        <v>51</v>
      </c>
      <c r="AG183" s="58">
        <v>1.69</v>
      </c>
      <c r="AH183" s="58">
        <v>17.856517628934565</v>
      </c>
      <c r="AI183" s="58" t="s">
        <v>37</v>
      </c>
      <c r="AL183" s="53" t="s">
        <v>38</v>
      </c>
      <c r="AM183" s="53" t="s">
        <v>38</v>
      </c>
      <c r="AR183" s="58">
        <v>4</v>
      </c>
      <c r="AS183" s="58">
        <v>1</v>
      </c>
    </row>
    <row r="184" spans="1:45" x14ac:dyDescent="0.3">
      <c r="A184" s="53" t="s">
        <v>621</v>
      </c>
      <c r="B184" s="58" t="s">
        <v>36</v>
      </c>
      <c r="C184" s="58">
        <v>18</v>
      </c>
      <c r="D184" s="65">
        <v>44655</v>
      </c>
      <c r="F184" s="58" t="s">
        <v>39</v>
      </c>
      <c r="G184" s="58">
        <v>37.5</v>
      </c>
      <c r="H184" s="58" t="s">
        <v>38</v>
      </c>
      <c r="I184" s="58" t="s">
        <v>65</v>
      </c>
      <c r="J184" s="58" t="s">
        <v>38</v>
      </c>
      <c r="K184" s="58" t="s">
        <v>114</v>
      </c>
      <c r="L184" s="58" t="s">
        <v>38</v>
      </c>
      <c r="M184" s="58" t="s">
        <v>110</v>
      </c>
      <c r="N184" s="58" t="s">
        <v>38</v>
      </c>
      <c r="O184" s="58" t="s">
        <v>110</v>
      </c>
      <c r="P184" s="58" t="s">
        <v>41</v>
      </c>
      <c r="Q184" s="58"/>
      <c r="R184" s="58" t="s">
        <v>38</v>
      </c>
      <c r="S184" s="58" t="s">
        <v>228</v>
      </c>
      <c r="T184" s="58" t="s">
        <v>38</v>
      </c>
      <c r="U184" s="58" t="s">
        <v>53</v>
      </c>
      <c r="V184" s="58" t="s">
        <v>41</v>
      </c>
      <c r="W184" s="58"/>
      <c r="AD184" s="58" t="s">
        <v>57</v>
      </c>
      <c r="AE184" s="58" t="s">
        <v>141</v>
      </c>
      <c r="AF184" s="58">
        <v>49</v>
      </c>
      <c r="AG184" s="58">
        <v>1.67</v>
      </c>
      <c r="AH184" s="58">
        <v>17.569651116927822</v>
      </c>
      <c r="AI184" s="58" t="s">
        <v>68</v>
      </c>
      <c r="AJ184" s="53" t="s">
        <v>41</v>
      </c>
      <c r="AK184" s="53" t="s">
        <v>41</v>
      </c>
      <c r="AL184" s="53" t="s">
        <v>41</v>
      </c>
      <c r="AM184" s="53" t="s">
        <v>41</v>
      </c>
      <c r="AN184" s="53" t="s">
        <v>41</v>
      </c>
      <c r="AO184" s="53" t="s">
        <v>41</v>
      </c>
      <c r="AP184" s="53" t="s">
        <v>41</v>
      </c>
      <c r="AQ184" s="53" t="s">
        <v>41</v>
      </c>
      <c r="AR184" s="58">
        <v>7</v>
      </c>
      <c r="AS184" s="58">
        <v>2</v>
      </c>
    </row>
    <row r="185" spans="1:45" x14ac:dyDescent="0.3">
      <c r="A185" s="53" t="s">
        <v>865</v>
      </c>
      <c r="B185" s="58" t="s">
        <v>87</v>
      </c>
      <c r="C185" s="58">
        <v>25</v>
      </c>
      <c r="D185" s="58" t="s">
        <v>69</v>
      </c>
      <c r="F185" s="58" t="s">
        <v>39</v>
      </c>
      <c r="G185" s="58">
        <v>37</v>
      </c>
      <c r="H185" s="58" t="s">
        <v>38</v>
      </c>
      <c r="I185" s="58" t="s">
        <v>77</v>
      </c>
      <c r="J185" s="58" t="s">
        <v>38</v>
      </c>
      <c r="K185" s="58" t="s">
        <v>82</v>
      </c>
      <c r="L185" s="58" t="s">
        <v>38</v>
      </c>
      <c r="M185" s="58" t="s">
        <v>82</v>
      </c>
      <c r="N185" s="58" t="s">
        <v>41</v>
      </c>
      <c r="O185" s="58"/>
      <c r="P185" s="58"/>
      <c r="Q185" s="58"/>
      <c r="R185" s="58"/>
      <c r="S185" s="58"/>
      <c r="T185" s="58"/>
      <c r="U185" s="58"/>
      <c r="V185" s="58"/>
      <c r="W185" s="58"/>
      <c r="AD185" s="58" t="s">
        <v>99</v>
      </c>
      <c r="AE185" s="58"/>
      <c r="AF185" s="58">
        <v>48</v>
      </c>
      <c r="AG185" s="58">
        <v>1.58</v>
      </c>
      <c r="AH185" s="58">
        <v>19.227687870533565</v>
      </c>
      <c r="AI185" s="58" t="s">
        <v>68</v>
      </c>
      <c r="AR185" s="58">
        <v>4</v>
      </c>
      <c r="AS185" s="58">
        <v>3</v>
      </c>
    </row>
    <row r="186" spans="1:45" x14ac:dyDescent="0.3">
      <c r="A186" s="53" t="s">
        <v>866</v>
      </c>
      <c r="B186" s="58"/>
      <c r="C186" s="58"/>
      <c r="D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AD186" s="58"/>
      <c r="AE186" s="58"/>
      <c r="AF186" s="58"/>
      <c r="AG186" s="58">
        <v>0</v>
      </c>
      <c r="AH186" s="58" t="e">
        <v>#DIV/0!</v>
      </c>
      <c r="AI186" s="58"/>
      <c r="AR186" s="58"/>
      <c r="AS186" s="58"/>
    </row>
    <row r="187" spans="1:45" x14ac:dyDescent="0.3">
      <c r="A187" s="53" t="s">
        <v>867</v>
      </c>
      <c r="B187" s="58"/>
      <c r="C187" s="58"/>
      <c r="D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AD187" s="58"/>
      <c r="AE187" s="58" t="s">
        <v>174</v>
      </c>
      <c r="AF187" s="58"/>
      <c r="AG187" s="58">
        <v>0</v>
      </c>
      <c r="AH187" s="58" t="e">
        <v>#DIV/0!</v>
      </c>
      <c r="AI187" s="58"/>
      <c r="AR187" s="58"/>
      <c r="AS187" s="58"/>
    </row>
    <row r="188" spans="1:45" x14ac:dyDescent="0.3">
      <c r="A188" s="53" t="s">
        <v>625</v>
      </c>
      <c r="B188" s="58" t="s">
        <v>87</v>
      </c>
      <c r="C188" s="58">
        <v>38</v>
      </c>
      <c r="D188" s="63">
        <v>44880</v>
      </c>
      <c r="E188" s="53" t="s">
        <v>964</v>
      </c>
      <c r="F188" s="58" t="s">
        <v>39</v>
      </c>
      <c r="G188" s="58">
        <v>37</v>
      </c>
      <c r="H188" s="58" t="s">
        <v>38</v>
      </c>
      <c r="I188" s="58" t="s">
        <v>162</v>
      </c>
      <c r="J188" s="58" t="s">
        <v>38</v>
      </c>
      <c r="K188" s="58" t="s">
        <v>43</v>
      </c>
      <c r="L188" s="58" t="s">
        <v>41</v>
      </c>
      <c r="M188" s="58"/>
      <c r="N188" s="58" t="s">
        <v>41</v>
      </c>
      <c r="O188" s="58"/>
      <c r="P188" s="58" t="s">
        <v>41</v>
      </c>
      <c r="Q188" s="58"/>
      <c r="R188" s="58" t="s">
        <v>38</v>
      </c>
      <c r="S188" s="58" t="s">
        <v>55</v>
      </c>
      <c r="T188" s="58" t="s">
        <v>41</v>
      </c>
      <c r="U188" s="58"/>
      <c r="V188" s="58" t="s">
        <v>41</v>
      </c>
      <c r="W188" s="58"/>
      <c r="AD188" s="58" t="s">
        <v>72</v>
      </c>
      <c r="AE188" s="58" t="s">
        <v>118</v>
      </c>
      <c r="AF188" s="58">
        <v>49</v>
      </c>
      <c r="AG188" s="58">
        <v>1.5730000000000002</v>
      </c>
      <c r="AH188" s="58">
        <v>19.803348705851157</v>
      </c>
      <c r="AI188" s="58" t="s">
        <v>69</v>
      </c>
      <c r="AJ188" s="53" t="s">
        <v>41</v>
      </c>
      <c r="AK188" s="53" t="s">
        <v>41</v>
      </c>
      <c r="AL188" s="53" t="s">
        <v>41</v>
      </c>
      <c r="AM188" s="53" t="s">
        <v>38</v>
      </c>
      <c r="AN188" s="53" t="s">
        <v>41</v>
      </c>
      <c r="AO188" s="53" t="s">
        <v>41</v>
      </c>
      <c r="AP188" s="53" t="s">
        <v>41</v>
      </c>
      <c r="AQ188" s="53" t="s">
        <v>41</v>
      </c>
      <c r="AR188" s="58">
        <v>2</v>
      </c>
      <c r="AS188" s="58">
        <v>1</v>
      </c>
    </row>
    <row r="189" spans="1:45" x14ac:dyDescent="0.3">
      <c r="A189" s="53" t="s">
        <v>628</v>
      </c>
      <c r="B189" s="58" t="s">
        <v>36</v>
      </c>
      <c r="C189" s="58">
        <v>47</v>
      </c>
      <c r="D189" s="63">
        <v>44869</v>
      </c>
      <c r="E189" s="53" t="s">
        <v>961</v>
      </c>
      <c r="F189" s="58" t="s">
        <v>39</v>
      </c>
      <c r="G189" s="58">
        <v>37</v>
      </c>
      <c r="H189" s="58" t="s">
        <v>38</v>
      </c>
      <c r="I189" s="58" t="s">
        <v>50</v>
      </c>
      <c r="J189" s="58" t="s">
        <v>38</v>
      </c>
      <c r="K189" s="58" t="s">
        <v>50</v>
      </c>
      <c r="L189" s="58" t="s">
        <v>38</v>
      </c>
      <c r="M189" s="58" t="s">
        <v>132</v>
      </c>
      <c r="N189" s="58" t="s">
        <v>38</v>
      </c>
      <c r="O189" s="58" t="s">
        <v>50</v>
      </c>
      <c r="P189" s="58" t="s">
        <v>41</v>
      </c>
      <c r="Q189" s="58"/>
      <c r="R189" s="58" t="s">
        <v>41</v>
      </c>
      <c r="S189" s="58"/>
      <c r="T189" s="58" t="s">
        <v>41</v>
      </c>
      <c r="U189" s="58"/>
      <c r="V189" s="58" t="s">
        <v>41</v>
      </c>
      <c r="W189" s="58"/>
      <c r="AD189" s="58" t="s">
        <v>61</v>
      </c>
      <c r="AE189" s="58" t="s">
        <v>79</v>
      </c>
      <c r="AF189" s="58">
        <v>54</v>
      </c>
      <c r="AG189" s="58">
        <v>1.65</v>
      </c>
      <c r="AH189" s="58">
        <v>19.834710743801654</v>
      </c>
      <c r="AI189" s="58" t="s">
        <v>69</v>
      </c>
      <c r="AJ189" s="53" t="s">
        <v>41</v>
      </c>
      <c r="AK189" s="53" t="s">
        <v>41</v>
      </c>
      <c r="AL189" s="53" t="s">
        <v>41</v>
      </c>
      <c r="AM189" s="53" t="s">
        <v>38</v>
      </c>
      <c r="AN189" s="53" t="s">
        <v>41</v>
      </c>
      <c r="AO189" s="53" t="s">
        <v>41</v>
      </c>
      <c r="AP189" s="53" t="s">
        <v>41</v>
      </c>
      <c r="AQ189" s="53" t="s">
        <v>41</v>
      </c>
      <c r="AR189" s="58">
        <v>2</v>
      </c>
      <c r="AS189" s="58">
        <v>1</v>
      </c>
    </row>
    <row r="190" spans="1:45" x14ac:dyDescent="0.3">
      <c r="A190" s="53" t="s">
        <v>630</v>
      </c>
      <c r="B190" s="58" t="s">
        <v>87</v>
      </c>
      <c r="C190" s="58">
        <v>56</v>
      </c>
      <c r="D190" s="63">
        <v>44936</v>
      </c>
      <c r="E190" s="53" t="s">
        <v>961</v>
      </c>
      <c r="F190" s="58" t="s">
        <v>39</v>
      </c>
      <c r="G190" s="58">
        <v>37</v>
      </c>
      <c r="H190" s="58" t="s">
        <v>38</v>
      </c>
      <c r="I190" s="58" t="s">
        <v>632</v>
      </c>
      <c r="J190" s="58" t="s">
        <v>38</v>
      </c>
      <c r="K190" s="58" t="s">
        <v>50</v>
      </c>
      <c r="L190" s="58" t="s">
        <v>41</v>
      </c>
      <c r="M190" s="58"/>
      <c r="N190" s="58" t="s">
        <v>38</v>
      </c>
      <c r="O190" s="58" t="s">
        <v>228</v>
      </c>
      <c r="P190" s="58" t="s">
        <v>38</v>
      </c>
      <c r="Q190" s="58" t="s">
        <v>43</v>
      </c>
      <c r="R190" s="58" t="s">
        <v>38</v>
      </c>
      <c r="S190" s="58" t="s">
        <v>632</v>
      </c>
      <c r="T190" s="58" t="s">
        <v>41</v>
      </c>
      <c r="U190" s="58"/>
      <c r="V190" s="58" t="s">
        <v>41</v>
      </c>
      <c r="W190" s="58"/>
      <c r="X190" s="53" t="s">
        <v>961</v>
      </c>
      <c r="Y190" s="53" t="s">
        <v>965</v>
      </c>
      <c r="Z190" s="53" t="s">
        <v>964</v>
      </c>
      <c r="AA190" s="53" t="s">
        <v>966</v>
      </c>
      <c r="AD190" s="58" t="s">
        <v>72</v>
      </c>
      <c r="AE190" s="58" t="s">
        <v>437</v>
      </c>
      <c r="AF190" s="58">
        <v>56</v>
      </c>
      <c r="AG190" s="58">
        <v>1.67</v>
      </c>
      <c r="AH190" s="58">
        <v>20.07960127648894</v>
      </c>
      <c r="AI190" s="58" t="s">
        <v>68</v>
      </c>
      <c r="AJ190" s="53" t="s">
        <v>41</v>
      </c>
      <c r="AK190" s="53" t="s">
        <v>41</v>
      </c>
      <c r="AL190" s="53" t="s">
        <v>41</v>
      </c>
      <c r="AM190" s="53" t="s">
        <v>41</v>
      </c>
      <c r="AN190" s="53" t="s">
        <v>41</v>
      </c>
      <c r="AO190" s="53" t="s">
        <v>41</v>
      </c>
      <c r="AP190" s="53" t="s">
        <v>41</v>
      </c>
      <c r="AQ190" s="53" t="s">
        <v>41</v>
      </c>
      <c r="AR190" s="58">
        <v>3</v>
      </c>
      <c r="AS190" s="58">
        <v>4</v>
      </c>
    </row>
    <row r="191" spans="1:45" x14ac:dyDescent="0.3">
      <c r="A191" s="53" t="s">
        <v>633</v>
      </c>
      <c r="B191" s="58" t="s">
        <v>36</v>
      </c>
      <c r="C191" s="58">
        <v>66</v>
      </c>
      <c r="D191" s="63">
        <v>44875</v>
      </c>
      <c r="E191" s="53" t="s">
        <v>961</v>
      </c>
      <c r="F191" s="58" t="s">
        <v>39</v>
      </c>
      <c r="G191" s="58">
        <v>37</v>
      </c>
      <c r="H191" s="58" t="s">
        <v>38</v>
      </c>
      <c r="I191" s="58" t="s">
        <v>634</v>
      </c>
      <c r="J191" s="58" t="s">
        <v>41</v>
      </c>
      <c r="K191" s="58"/>
      <c r="L191" s="58" t="s">
        <v>41</v>
      </c>
      <c r="M191" s="58"/>
      <c r="N191" s="58" t="s">
        <v>41</v>
      </c>
      <c r="O191" s="58"/>
      <c r="P191" s="58" t="s">
        <v>41</v>
      </c>
      <c r="Q191" s="58"/>
      <c r="R191" s="58" t="s">
        <v>41</v>
      </c>
      <c r="S191" s="58"/>
      <c r="T191" s="58" t="s">
        <v>41</v>
      </c>
      <c r="U191" s="58"/>
      <c r="V191" s="58" t="s">
        <v>41</v>
      </c>
      <c r="W191" s="58"/>
      <c r="X191" s="53" t="s">
        <v>962</v>
      </c>
      <c r="Y191" s="53" t="s">
        <v>965</v>
      </c>
      <c r="Z191" s="53" t="s">
        <v>964</v>
      </c>
      <c r="AA191" s="53" t="s">
        <v>966</v>
      </c>
      <c r="AD191" s="58" t="s">
        <v>72</v>
      </c>
      <c r="AE191" s="58" t="s">
        <v>71</v>
      </c>
      <c r="AF191" s="58">
        <v>45</v>
      </c>
      <c r="AG191" s="58">
        <v>1.55</v>
      </c>
      <c r="AH191" s="58">
        <v>18.730489073881373</v>
      </c>
      <c r="AI191" s="58" t="s">
        <v>69</v>
      </c>
      <c r="AJ191" s="53" t="s">
        <v>41</v>
      </c>
      <c r="AK191" s="53" t="s">
        <v>41</v>
      </c>
      <c r="AL191" s="53" t="s">
        <v>38</v>
      </c>
      <c r="AM191" s="53" t="s">
        <v>38</v>
      </c>
      <c r="AN191" s="53" t="s">
        <v>41</v>
      </c>
      <c r="AO191" s="53" t="s">
        <v>41</v>
      </c>
      <c r="AP191" s="53" t="s">
        <v>41</v>
      </c>
      <c r="AQ191" s="53" t="s">
        <v>41</v>
      </c>
      <c r="AR191" s="58">
        <v>8</v>
      </c>
      <c r="AS191" s="58">
        <v>5</v>
      </c>
    </row>
    <row r="192" spans="1:45" x14ac:dyDescent="0.3">
      <c r="A192" s="53" t="s">
        <v>923</v>
      </c>
      <c r="B192" s="58" t="s">
        <v>36</v>
      </c>
      <c r="C192" s="58">
        <v>23</v>
      </c>
      <c r="D192" s="63">
        <v>44956</v>
      </c>
      <c r="F192" s="58" t="s">
        <v>359</v>
      </c>
      <c r="G192" s="58">
        <v>36</v>
      </c>
      <c r="H192" s="58" t="s">
        <v>38</v>
      </c>
      <c r="I192" s="58" t="s">
        <v>50</v>
      </c>
      <c r="J192" s="58" t="s">
        <v>38</v>
      </c>
      <c r="K192" s="58" t="s">
        <v>50</v>
      </c>
      <c r="L192" s="58" t="s">
        <v>41</v>
      </c>
      <c r="M192" s="58"/>
      <c r="N192" s="58" t="s">
        <v>41</v>
      </c>
      <c r="O192" s="58"/>
      <c r="P192" s="58" t="s">
        <v>41</v>
      </c>
      <c r="Q192" s="58"/>
      <c r="R192" s="58" t="s">
        <v>38</v>
      </c>
      <c r="S192" s="58" t="s">
        <v>50</v>
      </c>
      <c r="T192" s="58" t="s">
        <v>41</v>
      </c>
      <c r="U192" s="58"/>
      <c r="V192" s="58" t="s">
        <v>41</v>
      </c>
      <c r="W192" s="58"/>
      <c r="AD192" s="58" t="s">
        <v>72</v>
      </c>
      <c r="AE192" s="58" t="s">
        <v>639</v>
      </c>
      <c r="AF192" s="58">
        <v>60</v>
      </c>
      <c r="AG192" s="58">
        <v>1.67</v>
      </c>
      <c r="AH192" s="58">
        <v>21.513858510523864</v>
      </c>
      <c r="AI192" s="58" t="s">
        <v>68</v>
      </c>
      <c r="AJ192" s="53" t="s">
        <v>41</v>
      </c>
      <c r="AK192" s="53" t="s">
        <v>41</v>
      </c>
      <c r="AL192" s="53" t="s">
        <v>41</v>
      </c>
      <c r="AM192" s="53" t="s">
        <v>41</v>
      </c>
      <c r="AN192" s="53" t="s">
        <v>41</v>
      </c>
      <c r="AO192" s="53" t="s">
        <v>41</v>
      </c>
      <c r="AP192" s="53" t="s">
        <v>41</v>
      </c>
      <c r="AQ192" s="53" t="s">
        <v>41</v>
      </c>
      <c r="AR192" s="58">
        <v>9</v>
      </c>
      <c r="AS192" s="58">
        <v>6</v>
      </c>
    </row>
    <row r="193" spans="1:45" x14ac:dyDescent="0.3">
      <c r="A193" s="53" t="s">
        <v>924</v>
      </c>
      <c r="B193" s="58" t="s">
        <v>36</v>
      </c>
      <c r="C193" s="58">
        <v>36</v>
      </c>
      <c r="D193" s="63">
        <v>44956</v>
      </c>
      <c r="F193" s="58" t="s">
        <v>359</v>
      </c>
      <c r="G193" s="58">
        <v>36</v>
      </c>
      <c r="H193" s="58" t="s">
        <v>38</v>
      </c>
      <c r="I193" s="58" t="s">
        <v>354</v>
      </c>
      <c r="J193" s="58" t="s">
        <v>38</v>
      </c>
      <c r="K193" s="58" t="s">
        <v>354</v>
      </c>
      <c r="L193" s="58" t="s">
        <v>38</v>
      </c>
      <c r="M193" s="58" t="s">
        <v>354</v>
      </c>
      <c r="N193" s="58" t="s">
        <v>38</v>
      </c>
      <c r="O193" s="58" t="s">
        <v>65</v>
      </c>
      <c r="P193" s="58" t="s">
        <v>38</v>
      </c>
      <c r="Q193" s="58" t="s">
        <v>65</v>
      </c>
      <c r="R193" s="58" t="s">
        <v>41</v>
      </c>
      <c r="S193" s="58"/>
      <c r="T193" s="58" t="s">
        <v>38</v>
      </c>
      <c r="U193" s="58" t="s">
        <v>51</v>
      </c>
      <c r="V193" s="58" t="s">
        <v>41</v>
      </c>
      <c r="W193" s="58"/>
      <c r="AD193" s="58" t="s">
        <v>72</v>
      </c>
      <c r="AE193" s="58" t="s">
        <v>481</v>
      </c>
      <c r="AF193" s="58">
        <v>55</v>
      </c>
      <c r="AG193" s="58">
        <v>1.69</v>
      </c>
      <c r="AH193" s="58">
        <v>19.257028815517668</v>
      </c>
      <c r="AI193" s="58" t="s">
        <v>68</v>
      </c>
      <c r="AJ193" s="53" t="s">
        <v>41</v>
      </c>
      <c r="AK193" s="53" t="s">
        <v>41</v>
      </c>
      <c r="AL193" s="53" t="s">
        <v>41</v>
      </c>
      <c r="AM193" s="53" t="s">
        <v>41</v>
      </c>
      <c r="AN193" s="53" t="s">
        <v>41</v>
      </c>
      <c r="AO193" s="53" t="s">
        <v>41</v>
      </c>
      <c r="AP193" s="53" t="s">
        <v>41</v>
      </c>
      <c r="AQ193" s="53" t="s">
        <v>41</v>
      </c>
      <c r="AR193" s="58">
        <v>2</v>
      </c>
      <c r="AS193" s="58">
        <v>2</v>
      </c>
    </row>
    <row r="194" spans="1:45" x14ac:dyDescent="0.3">
      <c r="A194" s="53" t="s">
        <v>456</v>
      </c>
      <c r="B194" s="58" t="s">
        <v>36</v>
      </c>
      <c r="C194" s="58">
        <v>28</v>
      </c>
      <c r="D194" s="63">
        <v>44881</v>
      </c>
      <c r="F194" s="58" t="s">
        <v>39</v>
      </c>
      <c r="G194" s="58">
        <v>37.200000000000003</v>
      </c>
      <c r="H194" s="58" t="s">
        <v>38</v>
      </c>
      <c r="I194" s="58" t="s">
        <v>43</v>
      </c>
      <c r="J194" s="58" t="s">
        <v>38</v>
      </c>
      <c r="K194" s="58" t="s">
        <v>43</v>
      </c>
      <c r="L194" s="58" t="s">
        <v>38</v>
      </c>
      <c r="M194" s="58" t="s">
        <v>43</v>
      </c>
      <c r="N194" s="58" t="s">
        <v>38</v>
      </c>
      <c r="O194" s="58" t="s">
        <v>43</v>
      </c>
      <c r="P194" s="58" t="s">
        <v>41</v>
      </c>
      <c r="Q194" s="58"/>
      <c r="R194" s="58" t="s">
        <v>38</v>
      </c>
      <c r="S194" s="58" t="s">
        <v>43</v>
      </c>
      <c r="T194" s="58" t="s">
        <v>41</v>
      </c>
      <c r="U194" s="58"/>
      <c r="V194" s="58" t="s">
        <v>41</v>
      </c>
      <c r="W194" s="58"/>
      <c r="AD194" s="58" t="s">
        <v>57</v>
      </c>
      <c r="AE194" s="58" t="s">
        <v>79</v>
      </c>
      <c r="AF194" s="58">
        <v>53</v>
      </c>
      <c r="AG194" s="58">
        <v>1.6</v>
      </c>
      <c r="AH194" s="58">
        <v>20.703124999999996</v>
      </c>
      <c r="AI194" s="58" t="s">
        <v>68</v>
      </c>
      <c r="AJ194" s="53" t="s">
        <v>41</v>
      </c>
      <c r="AK194" s="53" t="s">
        <v>41</v>
      </c>
      <c r="AL194" s="53" t="s">
        <v>41</v>
      </c>
      <c r="AM194" s="53" t="s">
        <v>41</v>
      </c>
      <c r="AN194" s="53" t="s">
        <v>41</v>
      </c>
      <c r="AO194" s="53" t="s">
        <v>41</v>
      </c>
      <c r="AP194" s="53" t="s">
        <v>41</v>
      </c>
      <c r="AQ194" s="53" t="s">
        <v>41</v>
      </c>
      <c r="AR194" s="58">
        <v>4</v>
      </c>
      <c r="AS194" s="58">
        <v>1</v>
      </c>
    </row>
    <row r="195" spans="1:45" x14ac:dyDescent="0.3">
      <c r="A195" s="53" t="s">
        <v>925</v>
      </c>
      <c r="B195" s="58" t="s">
        <v>36</v>
      </c>
      <c r="C195" s="58">
        <v>20</v>
      </c>
      <c r="D195" s="63">
        <v>44965</v>
      </c>
      <c r="F195" s="58" t="s">
        <v>359</v>
      </c>
      <c r="G195" s="58">
        <v>36</v>
      </c>
      <c r="H195" s="58" t="s">
        <v>38</v>
      </c>
      <c r="I195" s="58" t="s">
        <v>65</v>
      </c>
      <c r="J195" s="58" t="s">
        <v>38</v>
      </c>
      <c r="K195" s="58" t="s">
        <v>65</v>
      </c>
      <c r="L195" s="58" t="s">
        <v>38</v>
      </c>
      <c r="M195" s="58" t="s">
        <v>65</v>
      </c>
      <c r="N195" s="58" t="s">
        <v>41</v>
      </c>
      <c r="O195" s="58"/>
      <c r="P195" s="58" t="s">
        <v>38</v>
      </c>
      <c r="Q195" s="58" t="s">
        <v>228</v>
      </c>
      <c r="R195" s="58" t="s">
        <v>38</v>
      </c>
      <c r="S195" s="58" t="s">
        <v>53</v>
      </c>
      <c r="T195" s="58" t="s">
        <v>41</v>
      </c>
      <c r="U195" s="58"/>
      <c r="V195" s="58" t="s">
        <v>41</v>
      </c>
      <c r="W195" s="58"/>
      <c r="AD195" s="58" t="s">
        <v>61</v>
      </c>
      <c r="AE195" s="58" t="s">
        <v>646</v>
      </c>
      <c r="AF195" s="58">
        <v>58</v>
      </c>
      <c r="AG195" s="58">
        <v>1.85</v>
      </c>
      <c r="AH195" s="58">
        <v>16.946676406135865</v>
      </c>
      <c r="AI195" s="58" t="s">
        <v>68</v>
      </c>
      <c r="AJ195" s="53" t="s">
        <v>41</v>
      </c>
      <c r="AK195" s="53" t="s">
        <v>41</v>
      </c>
      <c r="AL195" s="53" t="s">
        <v>41</v>
      </c>
      <c r="AM195" s="53" t="s">
        <v>41</v>
      </c>
      <c r="AN195" s="53" t="s">
        <v>41</v>
      </c>
      <c r="AO195" s="53" t="s">
        <v>41</v>
      </c>
      <c r="AP195" s="53" t="s">
        <v>41</v>
      </c>
      <c r="AQ195" s="53" t="s">
        <v>41</v>
      </c>
      <c r="AR195" s="58">
        <v>12</v>
      </c>
      <c r="AS195" s="58">
        <v>8</v>
      </c>
    </row>
    <row r="196" spans="1:45" x14ac:dyDescent="0.3">
      <c r="A196" s="53" t="s">
        <v>926</v>
      </c>
      <c r="B196" s="58" t="s">
        <v>36</v>
      </c>
      <c r="C196" s="58">
        <v>36</v>
      </c>
      <c r="D196" s="63">
        <v>44977</v>
      </c>
      <c r="F196" s="58" t="s">
        <v>359</v>
      </c>
      <c r="G196" s="58">
        <v>39</v>
      </c>
      <c r="H196" s="58" t="s">
        <v>38</v>
      </c>
      <c r="I196" s="58" t="s">
        <v>65</v>
      </c>
      <c r="J196" s="58" t="s">
        <v>38</v>
      </c>
      <c r="K196" s="58" t="s">
        <v>65</v>
      </c>
      <c r="L196" s="58" t="s">
        <v>38</v>
      </c>
      <c r="M196" s="58" t="s">
        <v>65</v>
      </c>
      <c r="N196" s="58" t="s">
        <v>38</v>
      </c>
      <c r="O196" s="58" t="s">
        <v>65</v>
      </c>
      <c r="P196" s="58" t="s">
        <v>38</v>
      </c>
      <c r="Q196" s="58" t="s">
        <v>43</v>
      </c>
      <c r="R196" s="58" t="s">
        <v>38</v>
      </c>
      <c r="S196" s="58" t="s">
        <v>65</v>
      </c>
      <c r="T196" s="58" t="s">
        <v>41</v>
      </c>
      <c r="U196" s="58"/>
      <c r="V196" s="58" t="s">
        <v>645</v>
      </c>
      <c r="W196" s="58"/>
      <c r="AD196" s="58" t="s">
        <v>57</v>
      </c>
      <c r="AE196" s="58" t="s">
        <v>79</v>
      </c>
      <c r="AF196" s="58">
        <v>51</v>
      </c>
      <c r="AG196" s="58">
        <v>1.7</v>
      </c>
      <c r="AH196" s="58">
        <v>17.647058823529413</v>
      </c>
      <c r="AI196" s="58" t="s">
        <v>68</v>
      </c>
      <c r="AJ196" s="53" t="s">
        <v>41</v>
      </c>
      <c r="AK196" s="53" t="s">
        <v>41</v>
      </c>
      <c r="AL196" s="53" t="s">
        <v>38</v>
      </c>
      <c r="AM196" s="53" t="s">
        <v>38</v>
      </c>
      <c r="AN196" s="53" t="s">
        <v>41</v>
      </c>
      <c r="AO196" s="53" t="s">
        <v>41</v>
      </c>
      <c r="AP196" s="53" t="s">
        <v>41</v>
      </c>
      <c r="AQ196" s="53" t="s">
        <v>41</v>
      </c>
      <c r="AR196" s="58">
        <v>3</v>
      </c>
      <c r="AS196" s="58">
        <v>1</v>
      </c>
    </row>
    <row r="197" spans="1:45" x14ac:dyDescent="0.3">
      <c r="A197" s="53" t="s">
        <v>927</v>
      </c>
      <c r="B197" s="58" t="s">
        <v>36</v>
      </c>
      <c r="C197" s="58">
        <v>23</v>
      </c>
      <c r="D197" s="63">
        <v>44977</v>
      </c>
      <c r="F197" s="58" t="s">
        <v>359</v>
      </c>
      <c r="G197" s="58">
        <v>38</v>
      </c>
      <c r="H197" s="58" t="s">
        <v>38</v>
      </c>
      <c r="I197" s="58" t="s">
        <v>649</v>
      </c>
      <c r="J197" s="58" t="s">
        <v>38</v>
      </c>
      <c r="K197" s="58" t="s">
        <v>354</v>
      </c>
      <c r="L197" s="58" t="s">
        <v>38</v>
      </c>
      <c r="M197" s="58" t="s">
        <v>114</v>
      </c>
      <c r="N197" s="58" t="s">
        <v>41</v>
      </c>
      <c r="O197" s="58"/>
      <c r="P197" s="58" t="s">
        <v>38</v>
      </c>
      <c r="Q197" s="58" t="s">
        <v>51</v>
      </c>
      <c r="R197" s="58" t="s">
        <v>38</v>
      </c>
      <c r="S197" s="58" t="s">
        <v>52</v>
      </c>
      <c r="T197" s="58" t="s">
        <v>41</v>
      </c>
      <c r="U197" s="58"/>
      <c r="V197" s="58" t="s">
        <v>41</v>
      </c>
      <c r="W197" s="58"/>
      <c r="AD197" s="58" t="s">
        <v>61</v>
      </c>
      <c r="AE197" s="58" t="s">
        <v>344</v>
      </c>
      <c r="AF197" s="58">
        <v>47</v>
      </c>
      <c r="AG197" s="58">
        <v>1.74</v>
      </c>
      <c r="AH197" s="58">
        <v>15.523847271766416</v>
      </c>
      <c r="AI197" s="58" t="s">
        <v>68</v>
      </c>
      <c r="AJ197" s="53" t="s">
        <v>41</v>
      </c>
      <c r="AK197" s="53" t="s">
        <v>41</v>
      </c>
      <c r="AL197" s="53" t="s">
        <v>41</v>
      </c>
      <c r="AM197" s="53" t="s">
        <v>41</v>
      </c>
      <c r="AN197" s="53" t="s">
        <v>41</v>
      </c>
      <c r="AO197" s="53" t="s">
        <v>41</v>
      </c>
      <c r="AP197" s="53" t="s">
        <v>41</v>
      </c>
      <c r="AQ197" s="53" t="s">
        <v>41</v>
      </c>
      <c r="AR197" s="58">
        <v>3</v>
      </c>
      <c r="AS197" s="58">
        <v>1</v>
      </c>
    </row>
    <row r="198" spans="1:45" x14ac:dyDescent="0.3">
      <c r="A198" s="53" t="s">
        <v>928</v>
      </c>
      <c r="B198" s="58" t="s">
        <v>36</v>
      </c>
      <c r="C198" s="58">
        <v>42</v>
      </c>
      <c r="D198" s="63">
        <v>44979</v>
      </c>
      <c r="F198" s="58" t="s">
        <v>359</v>
      </c>
      <c r="G198" s="58">
        <v>38</v>
      </c>
      <c r="H198" s="58" t="s">
        <v>38</v>
      </c>
      <c r="I198" s="58" t="s">
        <v>65</v>
      </c>
      <c r="J198" s="58" t="s">
        <v>38</v>
      </c>
      <c r="K198" s="58" t="s">
        <v>65</v>
      </c>
      <c r="L198" s="58" t="s">
        <v>38</v>
      </c>
      <c r="M198" s="58" t="s">
        <v>652</v>
      </c>
      <c r="N198" s="58" t="s">
        <v>38</v>
      </c>
      <c r="O198" s="58" t="s">
        <v>65</v>
      </c>
      <c r="P198" s="58" t="s">
        <v>41</v>
      </c>
      <c r="Q198" s="58"/>
      <c r="R198" s="58" t="s">
        <v>41</v>
      </c>
      <c r="S198" s="58"/>
      <c r="T198" s="58" t="s">
        <v>41</v>
      </c>
      <c r="U198" s="58"/>
      <c r="V198" s="58" t="s">
        <v>41</v>
      </c>
      <c r="W198" s="58"/>
      <c r="AD198" s="58" t="s">
        <v>99</v>
      </c>
      <c r="AE198" s="58" t="s">
        <v>655</v>
      </c>
      <c r="AF198" s="58">
        <v>57</v>
      </c>
      <c r="AG198" s="58">
        <v>1.63</v>
      </c>
      <c r="AH198" s="58">
        <v>21.453573713726524</v>
      </c>
      <c r="AI198" s="58" t="s">
        <v>68</v>
      </c>
      <c r="AJ198" s="53" t="s">
        <v>41</v>
      </c>
      <c r="AK198" s="53" t="s">
        <v>41</v>
      </c>
      <c r="AL198" s="53" t="s">
        <v>41</v>
      </c>
      <c r="AM198" s="53" t="s">
        <v>41</v>
      </c>
      <c r="AN198" s="53" t="s">
        <v>41</v>
      </c>
      <c r="AO198" s="53" t="s">
        <v>41</v>
      </c>
      <c r="AP198" s="53" t="s">
        <v>41</v>
      </c>
      <c r="AQ198" s="53" t="s">
        <v>41</v>
      </c>
      <c r="AR198" s="58">
        <v>1</v>
      </c>
      <c r="AS198" s="58">
        <v>1</v>
      </c>
    </row>
    <row r="199" spans="1:45" x14ac:dyDescent="0.3">
      <c r="A199" s="53" t="s">
        <v>929</v>
      </c>
      <c r="B199" s="58" t="s">
        <v>36</v>
      </c>
      <c r="C199" s="58">
        <v>28</v>
      </c>
      <c r="D199" s="63">
        <v>45000</v>
      </c>
      <c r="F199" s="58" t="s">
        <v>359</v>
      </c>
      <c r="G199" s="58">
        <v>37</v>
      </c>
      <c r="H199" s="58" t="s">
        <v>38</v>
      </c>
      <c r="I199" s="58" t="s">
        <v>50</v>
      </c>
      <c r="J199" s="58" t="s">
        <v>38</v>
      </c>
      <c r="K199" s="58" t="s">
        <v>53</v>
      </c>
      <c r="L199" s="58" t="s">
        <v>41</v>
      </c>
      <c r="M199" s="58"/>
      <c r="N199" s="58" t="s">
        <v>41</v>
      </c>
      <c r="O199" s="58"/>
      <c r="P199" s="58" t="s">
        <v>41</v>
      </c>
      <c r="Q199" s="58"/>
      <c r="R199" s="58" t="s">
        <v>38</v>
      </c>
      <c r="S199" s="58" t="s">
        <v>53</v>
      </c>
      <c r="T199" s="58" t="s">
        <v>41</v>
      </c>
      <c r="U199" s="58"/>
      <c r="V199" s="58" t="s">
        <v>41</v>
      </c>
      <c r="W199" s="58"/>
      <c r="AD199" s="58" t="s">
        <v>61</v>
      </c>
      <c r="AE199" s="58" t="s">
        <v>437</v>
      </c>
      <c r="AF199" s="58">
        <v>48</v>
      </c>
      <c r="AG199" s="58">
        <v>1.66</v>
      </c>
      <c r="AH199" s="58">
        <v>17.419073885905068</v>
      </c>
      <c r="AI199" s="58" t="s">
        <v>68</v>
      </c>
      <c r="AJ199" s="53" t="s">
        <v>41</v>
      </c>
      <c r="AK199" s="53" t="s">
        <v>41</v>
      </c>
      <c r="AL199" s="53" t="s">
        <v>41</v>
      </c>
      <c r="AM199" s="53" t="s">
        <v>41</v>
      </c>
      <c r="AN199" s="53" t="s">
        <v>41</v>
      </c>
      <c r="AO199" s="53" t="s">
        <v>41</v>
      </c>
      <c r="AP199" s="53" t="s">
        <v>41</v>
      </c>
      <c r="AQ199" s="53" t="s">
        <v>41</v>
      </c>
      <c r="AR199" s="58">
        <v>1</v>
      </c>
      <c r="AS199" s="58">
        <v>1</v>
      </c>
    </row>
    <row r="200" spans="1:45" x14ac:dyDescent="0.3">
      <c r="A200" s="53" t="s">
        <v>930</v>
      </c>
      <c r="B200" s="58" t="s">
        <v>36</v>
      </c>
      <c r="C200" s="58">
        <v>65</v>
      </c>
      <c r="D200" s="65">
        <v>45069</v>
      </c>
      <c r="F200" s="58" t="s">
        <v>359</v>
      </c>
      <c r="G200" s="58">
        <v>37</v>
      </c>
      <c r="H200" s="58" t="s">
        <v>38</v>
      </c>
      <c r="I200" s="58" t="s">
        <v>50</v>
      </c>
      <c r="J200" s="58" t="s">
        <v>38</v>
      </c>
      <c r="K200" s="58" t="s">
        <v>50</v>
      </c>
      <c r="L200" s="58" t="s">
        <v>38</v>
      </c>
      <c r="M200" s="58" t="s">
        <v>50</v>
      </c>
      <c r="N200" s="58" t="s">
        <v>38</v>
      </c>
      <c r="O200" s="58" t="s">
        <v>50</v>
      </c>
      <c r="P200" s="58" t="s">
        <v>41</v>
      </c>
      <c r="Q200" s="58"/>
      <c r="R200" s="58" t="s">
        <v>38</v>
      </c>
      <c r="S200" s="58" t="s">
        <v>50</v>
      </c>
      <c r="T200" s="58" t="s">
        <v>41</v>
      </c>
      <c r="U200" s="58"/>
      <c r="V200" s="58" t="s">
        <v>41</v>
      </c>
      <c r="W200" s="58"/>
      <c r="AD200" s="58" t="s">
        <v>45</v>
      </c>
      <c r="AE200" s="58" t="s">
        <v>316</v>
      </c>
      <c r="AF200" s="58">
        <v>56</v>
      </c>
      <c r="AG200" s="58">
        <v>1.73</v>
      </c>
      <c r="AH200" s="58">
        <v>18.710949246550168</v>
      </c>
      <c r="AI200" s="58" t="s">
        <v>68</v>
      </c>
      <c r="AJ200" s="53" t="s">
        <v>41</v>
      </c>
      <c r="AK200" s="53" t="s">
        <v>41</v>
      </c>
      <c r="AL200" s="53" t="s">
        <v>41</v>
      </c>
      <c r="AM200" s="53" t="s">
        <v>41</v>
      </c>
      <c r="AN200" s="53" t="s">
        <v>41</v>
      </c>
      <c r="AO200" s="53" t="s">
        <v>41</v>
      </c>
      <c r="AP200" s="53" t="s">
        <v>41</v>
      </c>
      <c r="AQ200" s="53" t="s">
        <v>41</v>
      </c>
      <c r="AR200" s="58">
        <v>1</v>
      </c>
      <c r="AS200" s="58">
        <v>3</v>
      </c>
    </row>
    <row r="201" spans="1:45" x14ac:dyDescent="0.3">
      <c r="A201" s="53" t="s">
        <v>931</v>
      </c>
      <c r="B201" s="58" t="s">
        <v>36</v>
      </c>
      <c r="C201" s="58">
        <v>20</v>
      </c>
      <c r="D201" s="65">
        <v>45071</v>
      </c>
      <c r="F201" s="58" t="s">
        <v>359</v>
      </c>
      <c r="G201" s="58">
        <v>39</v>
      </c>
      <c r="H201" s="58" t="s">
        <v>38</v>
      </c>
      <c r="I201" s="58" t="s">
        <v>43</v>
      </c>
      <c r="J201" s="58" t="s">
        <v>38</v>
      </c>
      <c r="K201" s="58" t="s">
        <v>43</v>
      </c>
      <c r="L201" s="58" t="s">
        <v>38</v>
      </c>
      <c r="M201" s="58" t="s">
        <v>43</v>
      </c>
      <c r="N201" s="58" t="s">
        <v>38</v>
      </c>
      <c r="O201" s="58" t="s">
        <v>43</v>
      </c>
      <c r="P201" s="58" t="s">
        <v>41</v>
      </c>
      <c r="Q201" s="58"/>
      <c r="R201" s="58" t="s">
        <v>41</v>
      </c>
      <c r="S201" s="58"/>
      <c r="T201" s="58" t="s">
        <v>41</v>
      </c>
      <c r="U201" s="58"/>
      <c r="V201" s="58" t="s">
        <v>645</v>
      </c>
      <c r="W201" s="58"/>
      <c r="AD201" s="58" t="s">
        <v>45</v>
      </c>
      <c r="AE201" s="58" t="s">
        <v>660</v>
      </c>
      <c r="AF201" s="58">
        <v>52</v>
      </c>
      <c r="AG201" s="58">
        <v>1.83</v>
      </c>
      <c r="AH201" s="58">
        <v>15.527486637403324</v>
      </c>
      <c r="AI201" s="58" t="s">
        <v>68</v>
      </c>
      <c r="AJ201" s="53" t="s">
        <v>41</v>
      </c>
      <c r="AK201" s="53" t="s">
        <v>41</v>
      </c>
      <c r="AL201" s="53" t="s">
        <v>41</v>
      </c>
      <c r="AM201" s="53" t="s">
        <v>41</v>
      </c>
      <c r="AN201" s="53" t="s">
        <v>41</v>
      </c>
      <c r="AO201" s="53" t="s">
        <v>41</v>
      </c>
      <c r="AP201" s="53" t="s">
        <v>41</v>
      </c>
      <c r="AQ201" s="53" t="s">
        <v>41</v>
      </c>
      <c r="AR201" s="58">
        <v>4</v>
      </c>
      <c r="AS201" s="58">
        <v>3</v>
      </c>
    </row>
    <row r="202" spans="1:45" x14ac:dyDescent="0.3">
      <c r="A202" s="53" t="s">
        <v>932</v>
      </c>
      <c r="B202" s="58" t="s">
        <v>87</v>
      </c>
      <c r="C202" s="58">
        <v>26</v>
      </c>
      <c r="D202" s="65">
        <v>45071</v>
      </c>
      <c r="F202" s="58" t="s">
        <v>359</v>
      </c>
      <c r="G202" s="58">
        <v>38</v>
      </c>
      <c r="H202" s="58" t="s">
        <v>38</v>
      </c>
      <c r="I202" s="58" t="s">
        <v>65</v>
      </c>
      <c r="J202" s="58" t="s">
        <v>38</v>
      </c>
      <c r="K202" s="58" t="s">
        <v>65</v>
      </c>
      <c r="L202" s="58" t="s">
        <v>38</v>
      </c>
      <c r="M202" s="58" t="s">
        <v>65</v>
      </c>
      <c r="N202" s="58" t="s">
        <v>38</v>
      </c>
      <c r="O202" s="58" t="s">
        <v>65</v>
      </c>
      <c r="P202" s="58" t="s">
        <v>41</v>
      </c>
      <c r="Q202" s="58"/>
      <c r="R202" s="58" t="s">
        <v>41</v>
      </c>
      <c r="S202" s="58"/>
      <c r="T202" s="58" t="s">
        <v>41</v>
      </c>
      <c r="U202" s="58"/>
      <c r="V202" s="58" t="s">
        <v>41</v>
      </c>
      <c r="W202" s="58"/>
      <c r="AD202" s="58" t="s">
        <v>61</v>
      </c>
      <c r="AE202" s="58" t="s">
        <v>220</v>
      </c>
      <c r="AF202" s="58">
        <v>31</v>
      </c>
      <c r="AG202" s="58">
        <v>1.59</v>
      </c>
      <c r="AH202" s="58">
        <v>12.262173173529527</v>
      </c>
      <c r="AI202" s="58" t="s">
        <v>68</v>
      </c>
      <c r="AJ202" s="53" t="s">
        <v>41</v>
      </c>
      <c r="AK202" s="53" t="s">
        <v>41</v>
      </c>
      <c r="AL202" s="53" t="s">
        <v>41</v>
      </c>
      <c r="AM202" s="53" t="s">
        <v>41</v>
      </c>
      <c r="AN202" s="53" t="s">
        <v>41</v>
      </c>
      <c r="AO202" s="53" t="s">
        <v>41</v>
      </c>
      <c r="AP202" s="53" t="s">
        <v>41</v>
      </c>
      <c r="AQ202" s="53" t="s">
        <v>41</v>
      </c>
      <c r="AR202" s="58">
        <v>5</v>
      </c>
      <c r="AS202" s="58">
        <v>3</v>
      </c>
    </row>
    <row r="203" spans="1:45" x14ac:dyDescent="0.3">
      <c r="A203" s="53" t="s">
        <v>933</v>
      </c>
      <c r="B203" s="58" t="s">
        <v>87</v>
      </c>
      <c r="C203" s="58">
        <v>36</v>
      </c>
      <c r="D203" s="65">
        <v>45070</v>
      </c>
      <c r="F203" s="58" t="s">
        <v>359</v>
      </c>
      <c r="G203" s="58">
        <v>38</v>
      </c>
      <c r="H203" s="58" t="s">
        <v>38</v>
      </c>
      <c r="I203" s="58" t="s">
        <v>150</v>
      </c>
      <c r="J203" s="58" t="s">
        <v>38</v>
      </c>
      <c r="K203" s="58" t="s">
        <v>150</v>
      </c>
      <c r="L203" s="58" t="s">
        <v>104</v>
      </c>
      <c r="M203" s="58" t="s">
        <v>150</v>
      </c>
      <c r="N203" s="58" t="s">
        <v>38</v>
      </c>
      <c r="O203" s="58" t="s">
        <v>150</v>
      </c>
      <c r="P203" s="58" t="s">
        <v>41</v>
      </c>
      <c r="Q203" s="58"/>
      <c r="R203" s="58" t="s">
        <v>38</v>
      </c>
      <c r="S203" s="58" t="s">
        <v>150</v>
      </c>
      <c r="T203" s="58" t="s">
        <v>41</v>
      </c>
      <c r="U203" s="58"/>
      <c r="V203" s="58" t="s">
        <v>41</v>
      </c>
      <c r="W203" s="58"/>
      <c r="AD203" s="58" t="s">
        <v>172</v>
      </c>
      <c r="AE203" s="58" t="s">
        <v>94</v>
      </c>
      <c r="AF203" s="58">
        <v>53</v>
      </c>
      <c r="AG203" s="58">
        <v>1.73</v>
      </c>
      <c r="AH203" s="58">
        <v>17.70857696548498</v>
      </c>
      <c r="AI203" s="58" t="s">
        <v>68</v>
      </c>
      <c r="AJ203" s="53" t="s">
        <v>41</v>
      </c>
      <c r="AK203" s="53" t="s">
        <v>41</v>
      </c>
      <c r="AL203" s="53" t="s">
        <v>41</v>
      </c>
      <c r="AM203" s="53" t="s">
        <v>41</v>
      </c>
      <c r="AN203" s="53" t="s">
        <v>41</v>
      </c>
      <c r="AO203" s="53" t="s">
        <v>41</v>
      </c>
      <c r="AP203" s="53" t="s">
        <v>41</v>
      </c>
      <c r="AQ203" s="53" t="s">
        <v>41</v>
      </c>
      <c r="AR203" s="58">
        <v>6</v>
      </c>
      <c r="AS203" s="58">
        <v>2</v>
      </c>
    </row>
    <row r="204" spans="1:45" x14ac:dyDescent="0.3">
      <c r="A204" s="53" t="s">
        <v>934</v>
      </c>
      <c r="B204" s="58" t="s">
        <v>36</v>
      </c>
      <c r="C204" s="58">
        <v>22</v>
      </c>
      <c r="D204" s="63">
        <v>45093</v>
      </c>
      <c r="F204" s="58" t="s">
        <v>359</v>
      </c>
      <c r="G204" s="58">
        <v>38</v>
      </c>
      <c r="H204" s="58" t="s">
        <v>38</v>
      </c>
      <c r="I204" s="58" t="s">
        <v>50</v>
      </c>
      <c r="J204" s="58" t="s">
        <v>38</v>
      </c>
      <c r="K204" s="58" t="s">
        <v>50</v>
      </c>
      <c r="L204" s="58" t="s">
        <v>38</v>
      </c>
      <c r="M204" s="58" t="s">
        <v>50</v>
      </c>
      <c r="N204" s="58" t="s">
        <v>38</v>
      </c>
      <c r="O204" s="58" t="s">
        <v>146</v>
      </c>
      <c r="P204" s="58" t="s">
        <v>41</v>
      </c>
      <c r="Q204" s="58"/>
      <c r="R204" s="58" t="s">
        <v>38</v>
      </c>
      <c r="S204" s="58" t="s">
        <v>50</v>
      </c>
      <c r="T204" s="58" t="s">
        <v>41</v>
      </c>
      <c r="U204" s="58"/>
      <c r="V204" s="58" t="s">
        <v>41</v>
      </c>
      <c r="W204" s="58"/>
      <c r="AD204" s="58" t="s">
        <v>72</v>
      </c>
      <c r="AE204" s="58" t="s">
        <v>667</v>
      </c>
      <c r="AF204" s="58">
        <v>56</v>
      </c>
      <c r="AG204" s="58">
        <v>1.63</v>
      </c>
      <c r="AH204" s="58">
        <v>21.077195227520797</v>
      </c>
      <c r="AI204" s="58" t="s">
        <v>68</v>
      </c>
      <c r="AJ204" s="53" t="s">
        <v>41</v>
      </c>
      <c r="AK204" s="53" t="s">
        <v>41</v>
      </c>
      <c r="AL204" s="53" t="s">
        <v>41</v>
      </c>
      <c r="AM204" s="53" t="s">
        <v>41</v>
      </c>
      <c r="AN204" s="53" t="s">
        <v>41</v>
      </c>
      <c r="AO204" s="53" t="s">
        <v>41</v>
      </c>
      <c r="AP204" s="53" t="s">
        <v>41</v>
      </c>
      <c r="AQ204" s="53" t="s">
        <v>41</v>
      </c>
      <c r="AR204" s="58">
        <v>5</v>
      </c>
      <c r="AS204" s="58">
        <v>2</v>
      </c>
    </row>
    <row r="205" spans="1:45" x14ac:dyDescent="0.3">
      <c r="A205" s="53" t="s">
        <v>935</v>
      </c>
      <c r="B205" s="58" t="s">
        <v>36</v>
      </c>
      <c r="C205" s="58">
        <v>38</v>
      </c>
      <c r="D205" s="63">
        <v>45098</v>
      </c>
      <c r="F205" s="58" t="s">
        <v>359</v>
      </c>
      <c r="G205" s="58">
        <v>39</v>
      </c>
      <c r="H205" s="58" t="s">
        <v>38</v>
      </c>
      <c r="I205" s="58" t="s">
        <v>666</v>
      </c>
      <c r="J205" s="58" t="s">
        <v>38</v>
      </c>
      <c r="K205" s="58" t="s">
        <v>55</v>
      </c>
      <c r="L205" s="58" t="s">
        <v>38</v>
      </c>
      <c r="M205" s="58" t="s">
        <v>55</v>
      </c>
      <c r="N205" s="58" t="s">
        <v>38</v>
      </c>
      <c r="O205" s="58" t="s">
        <v>55</v>
      </c>
      <c r="P205" s="58" t="s">
        <v>38</v>
      </c>
      <c r="Q205" s="58" t="s">
        <v>55</v>
      </c>
      <c r="R205" s="58" t="s">
        <v>38</v>
      </c>
      <c r="S205" s="58" t="s">
        <v>55</v>
      </c>
      <c r="T205" s="58" t="s">
        <v>41</v>
      </c>
      <c r="U205" s="58"/>
      <c r="V205" s="58" t="s">
        <v>41</v>
      </c>
      <c r="W205" s="58"/>
      <c r="AD205" s="58" t="s">
        <v>99</v>
      </c>
      <c r="AE205" s="58" t="s">
        <v>79</v>
      </c>
      <c r="AF205" s="58">
        <v>58</v>
      </c>
      <c r="AG205" s="58">
        <v>1.65</v>
      </c>
      <c r="AH205" s="58">
        <v>21.30394857667585</v>
      </c>
      <c r="AI205" s="58" t="s">
        <v>68</v>
      </c>
      <c r="AJ205" s="53" t="s">
        <v>41</v>
      </c>
      <c r="AK205" s="53" t="s">
        <v>41</v>
      </c>
      <c r="AL205" s="53" t="s">
        <v>41</v>
      </c>
      <c r="AM205" s="53" t="s">
        <v>41</v>
      </c>
      <c r="AN205" s="53" t="s">
        <v>41</v>
      </c>
      <c r="AO205" s="53" t="s">
        <v>41</v>
      </c>
      <c r="AP205" s="53" t="s">
        <v>41</v>
      </c>
      <c r="AQ205" s="53" t="s">
        <v>41</v>
      </c>
      <c r="AR205" s="58">
        <v>5</v>
      </c>
      <c r="AS205" s="58">
        <v>1</v>
      </c>
    </row>
    <row r="206" spans="1:45" x14ac:dyDescent="0.3">
      <c r="A206" s="53" t="s">
        <v>936</v>
      </c>
      <c r="B206" s="58" t="s">
        <v>87</v>
      </c>
      <c r="C206" s="58">
        <v>25</v>
      </c>
      <c r="D206" s="63">
        <v>45299</v>
      </c>
      <c r="F206" s="58" t="s">
        <v>359</v>
      </c>
      <c r="G206" s="58">
        <v>38</v>
      </c>
      <c r="H206" s="58" t="s">
        <v>38</v>
      </c>
      <c r="I206" s="58" t="s">
        <v>52</v>
      </c>
      <c r="J206" s="58" t="s">
        <v>38</v>
      </c>
      <c r="K206" s="58" t="s">
        <v>52</v>
      </c>
      <c r="L206" s="58" t="s">
        <v>41</v>
      </c>
      <c r="M206" s="58"/>
      <c r="N206" s="58" t="s">
        <v>41</v>
      </c>
      <c r="O206" s="58"/>
      <c r="P206" s="58" t="s">
        <v>41</v>
      </c>
      <c r="Q206" s="58"/>
      <c r="R206" s="58" t="s">
        <v>41</v>
      </c>
      <c r="S206" s="58"/>
      <c r="T206" s="58" t="s">
        <v>41</v>
      </c>
      <c r="U206" s="58"/>
      <c r="V206" s="58" t="s">
        <v>41</v>
      </c>
      <c r="W206" s="58"/>
      <c r="AD206" s="58" t="s">
        <v>69</v>
      </c>
      <c r="AE206" s="58" t="s">
        <v>163</v>
      </c>
      <c r="AF206" s="58">
        <v>58</v>
      </c>
      <c r="AG206" s="58">
        <v>1.46</v>
      </c>
      <c r="AH206" s="58">
        <v>27.209607806342657</v>
      </c>
      <c r="AI206" s="58" t="s">
        <v>68</v>
      </c>
      <c r="AJ206" s="53" t="s">
        <v>41</v>
      </c>
      <c r="AK206" s="53" t="s">
        <v>41</v>
      </c>
      <c r="AL206" s="53" t="s">
        <v>41</v>
      </c>
      <c r="AM206" s="53" t="s">
        <v>41</v>
      </c>
      <c r="AN206" s="53" t="s">
        <v>41</v>
      </c>
      <c r="AO206" s="53" t="s">
        <v>41</v>
      </c>
      <c r="AP206" s="53" t="s">
        <v>41</v>
      </c>
      <c r="AQ206" s="53" t="s">
        <v>41</v>
      </c>
      <c r="AR206" s="58">
        <v>7</v>
      </c>
      <c r="AS206" s="58">
        <v>5</v>
      </c>
    </row>
    <row r="207" spans="1:45" x14ac:dyDescent="0.3">
      <c r="A207" s="53" t="s">
        <v>937</v>
      </c>
      <c r="B207" s="58" t="s">
        <v>87</v>
      </c>
      <c r="C207" s="58">
        <v>28</v>
      </c>
      <c r="D207" s="63">
        <v>45306</v>
      </c>
      <c r="F207" s="58" t="s">
        <v>359</v>
      </c>
      <c r="G207" s="58">
        <v>39</v>
      </c>
      <c r="H207" s="58" t="s">
        <v>38</v>
      </c>
      <c r="I207" s="58" t="s">
        <v>114</v>
      </c>
      <c r="J207" s="58" t="s">
        <v>38</v>
      </c>
      <c r="K207" s="58" t="s">
        <v>114</v>
      </c>
      <c r="L207" s="58" t="s">
        <v>38</v>
      </c>
      <c r="M207" s="58" t="s">
        <v>114</v>
      </c>
      <c r="N207" s="58" t="s">
        <v>38</v>
      </c>
      <c r="O207" s="58" t="s">
        <v>53</v>
      </c>
      <c r="P207" s="58" t="s">
        <v>41</v>
      </c>
      <c r="Q207" s="58"/>
      <c r="R207" s="58" t="s">
        <v>38</v>
      </c>
      <c r="S207" s="58" t="s">
        <v>114</v>
      </c>
      <c r="T207" s="58" t="s">
        <v>41</v>
      </c>
      <c r="U207" s="58"/>
      <c r="V207" s="58" t="s">
        <v>447</v>
      </c>
      <c r="W207" s="58"/>
      <c r="AD207" s="58" t="s">
        <v>72</v>
      </c>
      <c r="AE207" s="58" t="s">
        <v>94</v>
      </c>
      <c r="AF207" s="58">
        <v>85</v>
      </c>
      <c r="AG207" s="58">
        <v>1.8</v>
      </c>
      <c r="AH207" s="58">
        <v>26.234567901234566</v>
      </c>
      <c r="AI207" s="58" t="s">
        <v>68</v>
      </c>
      <c r="AJ207" s="53" t="s">
        <v>41</v>
      </c>
      <c r="AK207" s="53" t="s">
        <v>41</v>
      </c>
      <c r="AL207" s="53" t="s">
        <v>41</v>
      </c>
      <c r="AM207" s="53" t="s">
        <v>38</v>
      </c>
      <c r="AN207" s="53" t="s">
        <v>41</v>
      </c>
      <c r="AO207" s="53" t="s">
        <v>41</v>
      </c>
      <c r="AP207" s="53" t="s">
        <v>41</v>
      </c>
      <c r="AQ207" s="53" t="s">
        <v>41</v>
      </c>
      <c r="AR207" s="58">
        <v>4</v>
      </c>
      <c r="AS207" s="58">
        <v>2</v>
      </c>
    </row>
    <row r="208" spans="1:45" x14ac:dyDescent="0.3">
      <c r="A208" s="53" t="s">
        <v>938</v>
      </c>
      <c r="B208" s="58" t="s">
        <v>36</v>
      </c>
      <c r="C208" s="58">
        <v>28</v>
      </c>
      <c r="D208" s="63">
        <v>45306</v>
      </c>
      <c r="F208" s="58" t="s">
        <v>359</v>
      </c>
      <c r="G208" s="58">
        <v>38</v>
      </c>
      <c r="H208" s="58" t="s">
        <v>40</v>
      </c>
      <c r="I208" s="58" t="s">
        <v>674</v>
      </c>
      <c r="J208" s="58" t="s">
        <v>40</v>
      </c>
      <c r="K208" s="58" t="s">
        <v>675</v>
      </c>
      <c r="L208" s="58" t="s">
        <v>40</v>
      </c>
      <c r="M208" s="58" t="s">
        <v>676</v>
      </c>
      <c r="N208" s="58" t="s">
        <v>40</v>
      </c>
      <c r="O208" s="58" t="s">
        <v>42</v>
      </c>
      <c r="P208" s="58" t="s">
        <v>41</v>
      </c>
      <c r="Q208" s="58"/>
      <c r="R208" s="58" t="s">
        <v>40</v>
      </c>
      <c r="S208" s="58" t="s">
        <v>454</v>
      </c>
      <c r="T208" s="58" t="s">
        <v>196</v>
      </c>
      <c r="U208" s="58"/>
      <c r="V208" s="58" t="s">
        <v>677</v>
      </c>
      <c r="W208" s="58"/>
      <c r="AD208" s="58" t="s">
        <v>72</v>
      </c>
      <c r="AE208" s="58" t="s">
        <v>163</v>
      </c>
      <c r="AF208" s="58">
        <v>65</v>
      </c>
      <c r="AG208" s="58">
        <v>1.72</v>
      </c>
      <c r="AH208" s="58">
        <v>21.971335857220122</v>
      </c>
      <c r="AI208" s="58" t="s">
        <v>68</v>
      </c>
      <c r="AJ208" s="53" t="s">
        <v>196</v>
      </c>
      <c r="AK208" s="53" t="s">
        <v>41</v>
      </c>
      <c r="AL208" s="53" t="s">
        <v>41</v>
      </c>
      <c r="AM208" s="53" t="s">
        <v>41</v>
      </c>
      <c r="AN208" s="53" t="s">
        <v>41</v>
      </c>
      <c r="AO208" s="53" t="s">
        <v>41</v>
      </c>
      <c r="AP208" s="53" t="s">
        <v>41</v>
      </c>
      <c r="AQ208" s="53" t="s">
        <v>41</v>
      </c>
      <c r="AR208" s="58">
        <v>1</v>
      </c>
      <c r="AS208" s="58">
        <v>1</v>
      </c>
    </row>
    <row r="209" spans="1:45" x14ac:dyDescent="0.3">
      <c r="A209" s="53" t="s">
        <v>939</v>
      </c>
      <c r="B209" s="58" t="s">
        <v>36</v>
      </c>
      <c r="C209" s="58">
        <v>34</v>
      </c>
      <c r="D209" s="63">
        <v>45315</v>
      </c>
      <c r="F209" s="58" t="s">
        <v>359</v>
      </c>
      <c r="G209" s="58">
        <v>39</v>
      </c>
      <c r="H209" s="58" t="s">
        <v>38</v>
      </c>
      <c r="I209" s="58" t="s">
        <v>43</v>
      </c>
      <c r="J209" s="58" t="s">
        <v>38</v>
      </c>
      <c r="K209" s="58" t="s">
        <v>43</v>
      </c>
      <c r="L209" s="58" t="s">
        <v>38</v>
      </c>
      <c r="M209" s="58" t="s">
        <v>43</v>
      </c>
      <c r="N209" s="58" t="s">
        <v>38</v>
      </c>
      <c r="O209" s="58" t="s">
        <v>43</v>
      </c>
      <c r="P209" s="58" t="s">
        <v>104</v>
      </c>
      <c r="Q209" s="58" t="s">
        <v>43</v>
      </c>
      <c r="R209" s="58" t="s">
        <v>38</v>
      </c>
      <c r="S209" s="58" t="s">
        <v>43</v>
      </c>
      <c r="T209" s="58" t="s">
        <v>41</v>
      </c>
      <c r="U209" s="58"/>
      <c r="V209" s="58" t="s">
        <v>679</v>
      </c>
      <c r="W209" s="58"/>
      <c r="AD209" s="58" t="s">
        <v>45</v>
      </c>
      <c r="AE209" s="58" t="s">
        <v>79</v>
      </c>
      <c r="AF209" s="58">
        <v>53</v>
      </c>
      <c r="AG209" s="58">
        <v>1.55</v>
      </c>
      <c r="AH209" s="58">
        <v>22.060353798126947</v>
      </c>
      <c r="AI209" s="58" t="s">
        <v>68</v>
      </c>
      <c r="AJ209" s="53" t="s">
        <v>41</v>
      </c>
      <c r="AK209" s="53" t="s">
        <v>41</v>
      </c>
      <c r="AL209" s="53" t="s">
        <v>41</v>
      </c>
      <c r="AM209" s="53" t="s">
        <v>41</v>
      </c>
      <c r="AN209" s="53" t="s">
        <v>41</v>
      </c>
      <c r="AO209" s="53" t="s">
        <v>41</v>
      </c>
      <c r="AP209" s="53" t="s">
        <v>41</v>
      </c>
      <c r="AQ209" s="53" t="s">
        <v>41</v>
      </c>
      <c r="AR209" s="58">
        <v>1</v>
      </c>
      <c r="AS209" s="58">
        <v>1</v>
      </c>
    </row>
    <row r="210" spans="1:45" x14ac:dyDescent="0.3">
      <c r="A210" s="53" t="s">
        <v>940</v>
      </c>
      <c r="B210" s="58" t="s">
        <v>87</v>
      </c>
      <c r="C210" s="58">
        <v>19</v>
      </c>
      <c r="D210" s="63">
        <v>45315</v>
      </c>
      <c r="F210" s="58" t="s">
        <v>359</v>
      </c>
      <c r="G210" s="58">
        <v>37</v>
      </c>
      <c r="H210" s="58" t="s">
        <v>38</v>
      </c>
      <c r="I210" s="58" t="s">
        <v>65</v>
      </c>
      <c r="J210" s="58" t="s">
        <v>38</v>
      </c>
      <c r="K210" s="58" t="s">
        <v>43</v>
      </c>
      <c r="L210" s="58" t="s">
        <v>38</v>
      </c>
      <c r="M210" s="58" t="s">
        <v>65</v>
      </c>
      <c r="N210" s="58" t="s">
        <v>38</v>
      </c>
      <c r="O210" s="58" t="s">
        <v>53</v>
      </c>
      <c r="P210" s="58" t="s">
        <v>104</v>
      </c>
      <c r="Q210" s="58" t="s">
        <v>52</v>
      </c>
      <c r="R210" s="58" t="s">
        <v>41</v>
      </c>
      <c r="S210" s="58"/>
      <c r="T210" s="58" t="s">
        <v>41</v>
      </c>
      <c r="U210" s="58"/>
      <c r="V210" s="58" t="s">
        <v>41</v>
      </c>
      <c r="W210" s="58"/>
      <c r="AD210" s="58" t="s">
        <v>69</v>
      </c>
      <c r="AE210" s="58" t="s">
        <v>71</v>
      </c>
      <c r="AF210" s="58">
        <v>48</v>
      </c>
      <c r="AG210" s="58">
        <v>1.08</v>
      </c>
      <c r="AH210" s="58">
        <v>41.152263374485592</v>
      </c>
      <c r="AI210" s="58" t="s">
        <v>68</v>
      </c>
      <c r="AJ210" s="53" t="s">
        <v>41</v>
      </c>
      <c r="AK210" s="53" t="s">
        <v>41</v>
      </c>
      <c r="AL210" s="53" t="s">
        <v>41</v>
      </c>
      <c r="AM210" s="53" t="s">
        <v>41</v>
      </c>
      <c r="AN210" s="53" t="s">
        <v>41</v>
      </c>
      <c r="AO210" s="53" t="s">
        <v>41</v>
      </c>
      <c r="AP210" s="53" t="s">
        <v>41</v>
      </c>
      <c r="AQ210" s="53" t="s">
        <v>41</v>
      </c>
      <c r="AR210" s="58">
        <v>1</v>
      </c>
      <c r="AS210" s="58">
        <v>1</v>
      </c>
    </row>
    <row r="211" spans="1:45" x14ac:dyDescent="0.3">
      <c r="A211" s="53" t="s">
        <v>941</v>
      </c>
      <c r="B211" s="58" t="s">
        <v>36</v>
      </c>
      <c r="C211" s="58">
        <v>27</v>
      </c>
      <c r="D211" s="63">
        <v>45329</v>
      </c>
      <c r="F211" s="58" t="s">
        <v>359</v>
      </c>
      <c r="G211" s="58">
        <v>38</v>
      </c>
      <c r="H211" s="58" t="s">
        <v>38</v>
      </c>
      <c r="I211" s="58" t="s">
        <v>354</v>
      </c>
      <c r="J211" s="58" t="s">
        <v>38</v>
      </c>
      <c r="K211" s="58" t="s">
        <v>354</v>
      </c>
      <c r="L211" s="58" t="s">
        <v>38</v>
      </c>
      <c r="M211" s="58" t="s">
        <v>354</v>
      </c>
      <c r="N211" s="58" t="s">
        <v>104</v>
      </c>
      <c r="O211" s="58" t="s">
        <v>354</v>
      </c>
      <c r="P211" s="58" t="s">
        <v>104</v>
      </c>
      <c r="Q211" s="58" t="s">
        <v>354</v>
      </c>
      <c r="R211" s="58" t="s">
        <v>38</v>
      </c>
      <c r="S211" s="58" t="s">
        <v>354</v>
      </c>
      <c r="T211" s="58" t="s">
        <v>38</v>
      </c>
      <c r="U211" s="58" t="s">
        <v>354</v>
      </c>
      <c r="V211" s="58" t="s">
        <v>683</v>
      </c>
      <c r="W211" s="58" t="s">
        <v>50</v>
      </c>
      <c r="AD211" s="58" t="s">
        <v>69</v>
      </c>
      <c r="AE211" s="58" t="s">
        <v>686</v>
      </c>
      <c r="AF211" s="58">
        <v>48</v>
      </c>
      <c r="AG211" s="58">
        <v>1.49</v>
      </c>
      <c r="AH211" s="58">
        <v>21.620647718571234</v>
      </c>
      <c r="AI211" s="58" t="s">
        <v>68</v>
      </c>
      <c r="AJ211" s="53" t="s">
        <v>41</v>
      </c>
      <c r="AK211" s="53" t="s">
        <v>41</v>
      </c>
      <c r="AL211" s="53" t="s">
        <v>38</v>
      </c>
      <c r="AM211" s="53" t="s">
        <v>38</v>
      </c>
      <c r="AN211" s="53" t="s">
        <v>41</v>
      </c>
      <c r="AO211" s="53" t="s">
        <v>41</v>
      </c>
      <c r="AP211" s="53" t="s">
        <v>41</v>
      </c>
      <c r="AQ211" s="53" t="s">
        <v>41</v>
      </c>
      <c r="AR211" s="58">
        <v>5</v>
      </c>
      <c r="AS211" s="58">
        <v>2</v>
      </c>
    </row>
    <row r="212" spans="1:45" x14ac:dyDescent="0.3">
      <c r="A212" s="53" t="s">
        <v>942</v>
      </c>
      <c r="B212" s="58" t="s">
        <v>36</v>
      </c>
      <c r="C212" s="58">
        <v>20</v>
      </c>
      <c r="D212" s="63">
        <v>45335</v>
      </c>
      <c r="F212" s="58" t="s">
        <v>359</v>
      </c>
      <c r="G212" s="58">
        <v>36</v>
      </c>
      <c r="H212" s="58" t="s">
        <v>38</v>
      </c>
      <c r="I212" s="58" t="s">
        <v>64</v>
      </c>
      <c r="J212" s="58" t="s">
        <v>41</v>
      </c>
      <c r="K212" s="58"/>
      <c r="L212" s="58" t="s">
        <v>41</v>
      </c>
      <c r="M212" s="58"/>
      <c r="N212" s="58" t="s">
        <v>38</v>
      </c>
      <c r="O212" s="58" t="s">
        <v>64</v>
      </c>
      <c r="P212" s="58" t="s">
        <v>41</v>
      </c>
      <c r="Q212" s="58"/>
      <c r="R212" s="58" t="s">
        <v>38</v>
      </c>
      <c r="S212" s="58" t="s">
        <v>64</v>
      </c>
      <c r="T212" s="58" t="s">
        <v>41</v>
      </c>
      <c r="U212" s="58"/>
      <c r="V212" s="58" t="s">
        <v>41</v>
      </c>
      <c r="W212" s="58"/>
      <c r="AD212" s="58" t="s">
        <v>687</v>
      </c>
      <c r="AE212" s="58" t="s">
        <v>79</v>
      </c>
      <c r="AF212" s="58">
        <v>45</v>
      </c>
      <c r="AG212" s="58">
        <v>1.71</v>
      </c>
      <c r="AH212" s="58">
        <v>15.389350569405973</v>
      </c>
      <c r="AI212" s="58" t="s">
        <v>68</v>
      </c>
      <c r="AJ212" s="53" t="s">
        <v>41</v>
      </c>
      <c r="AK212" s="53" t="s">
        <v>41</v>
      </c>
      <c r="AL212" s="53" t="s">
        <v>41</v>
      </c>
      <c r="AM212" s="53" t="s">
        <v>41</v>
      </c>
      <c r="AN212" s="53" t="s">
        <v>41</v>
      </c>
      <c r="AO212" s="53" t="s">
        <v>41</v>
      </c>
      <c r="AP212" s="53" t="s">
        <v>41</v>
      </c>
      <c r="AQ212" s="53" t="s">
        <v>41</v>
      </c>
      <c r="AR212" s="58">
        <v>2</v>
      </c>
      <c r="AS212" s="58">
        <v>1</v>
      </c>
    </row>
    <row r="213" spans="1:45" x14ac:dyDescent="0.3">
      <c r="A213" s="53" t="s">
        <v>943</v>
      </c>
      <c r="B213" s="58" t="s">
        <v>87</v>
      </c>
      <c r="C213" s="58">
        <v>30</v>
      </c>
      <c r="D213" s="65">
        <v>45362</v>
      </c>
      <c r="F213" s="58" t="s">
        <v>359</v>
      </c>
      <c r="G213" s="58">
        <v>37</v>
      </c>
      <c r="H213" s="58" t="s">
        <v>38</v>
      </c>
      <c r="I213" s="58" t="s">
        <v>65</v>
      </c>
      <c r="J213" s="58" t="s">
        <v>38</v>
      </c>
      <c r="K213" s="58" t="s">
        <v>65</v>
      </c>
      <c r="L213" s="58" t="s">
        <v>38</v>
      </c>
      <c r="M213" s="58" t="s">
        <v>53</v>
      </c>
      <c r="N213" s="58" t="s">
        <v>38</v>
      </c>
      <c r="O213" s="58" t="s">
        <v>65</v>
      </c>
      <c r="P213" s="58" t="s">
        <v>41</v>
      </c>
      <c r="Q213" s="58"/>
      <c r="R213" s="58" t="s">
        <v>38</v>
      </c>
      <c r="S213" s="58" t="s">
        <v>65</v>
      </c>
      <c r="T213" s="58" t="s">
        <v>41</v>
      </c>
      <c r="U213" s="58"/>
      <c r="V213" s="58" t="s">
        <v>41</v>
      </c>
      <c r="W213" s="58"/>
      <c r="AD213" s="58" t="s">
        <v>99</v>
      </c>
      <c r="AE213" s="58" t="s">
        <v>118</v>
      </c>
      <c r="AF213" s="58">
        <v>55</v>
      </c>
      <c r="AG213" s="58">
        <v>1.62</v>
      </c>
      <c r="AH213" s="58">
        <v>20.957171162932475</v>
      </c>
      <c r="AI213" s="58" t="s">
        <v>68</v>
      </c>
      <c r="AJ213" s="53" t="s">
        <v>41</v>
      </c>
      <c r="AK213" s="53" t="s">
        <v>41</v>
      </c>
      <c r="AL213" s="53" t="s">
        <v>41</v>
      </c>
      <c r="AM213" s="53" t="s">
        <v>41</v>
      </c>
      <c r="AN213" s="53" t="s">
        <v>41</v>
      </c>
      <c r="AO213" s="53" t="s">
        <v>41</v>
      </c>
      <c r="AP213" s="53" t="s">
        <v>41</v>
      </c>
      <c r="AQ213" s="53" t="s">
        <v>41</v>
      </c>
      <c r="AR213" s="58">
        <v>4</v>
      </c>
      <c r="AS213" s="58">
        <v>2</v>
      </c>
    </row>
    <row r="214" spans="1:45" x14ac:dyDescent="0.3">
      <c r="A214" s="53" t="s">
        <v>944</v>
      </c>
      <c r="B214" s="58" t="s">
        <v>87</v>
      </c>
      <c r="C214" s="58">
        <v>32</v>
      </c>
      <c r="D214" s="65">
        <v>45363</v>
      </c>
      <c r="F214" s="58" t="s">
        <v>359</v>
      </c>
      <c r="G214" s="58">
        <v>37</v>
      </c>
      <c r="H214" s="58" t="s">
        <v>38</v>
      </c>
      <c r="I214" s="58" t="s">
        <v>50</v>
      </c>
      <c r="J214" s="58" t="s">
        <v>38</v>
      </c>
      <c r="K214" s="58" t="s">
        <v>50</v>
      </c>
      <c r="L214" s="58" t="s">
        <v>38</v>
      </c>
      <c r="M214" s="58" t="s">
        <v>50</v>
      </c>
      <c r="N214" s="58" t="s">
        <v>38</v>
      </c>
      <c r="O214" s="58" t="s">
        <v>70</v>
      </c>
      <c r="P214" s="58" t="s">
        <v>41</v>
      </c>
      <c r="Q214" s="58"/>
      <c r="R214" s="58" t="s">
        <v>38</v>
      </c>
      <c r="S214" s="58" t="s">
        <v>50</v>
      </c>
      <c r="T214" s="58" t="s">
        <v>38</v>
      </c>
      <c r="U214" s="58" t="s">
        <v>53</v>
      </c>
      <c r="V214" s="58" t="s">
        <v>41</v>
      </c>
      <c r="W214" s="58"/>
      <c r="AD214" s="58" t="s">
        <v>72</v>
      </c>
      <c r="AE214" s="58" t="s">
        <v>79</v>
      </c>
      <c r="AF214" s="58">
        <v>62</v>
      </c>
      <c r="AG214" s="58">
        <v>1.68</v>
      </c>
      <c r="AH214" s="58">
        <v>21.9671201814059</v>
      </c>
      <c r="AI214" s="58" t="s">
        <v>68</v>
      </c>
      <c r="AJ214" s="53" t="s">
        <v>41</v>
      </c>
      <c r="AK214" s="53" t="s">
        <v>41</v>
      </c>
      <c r="AL214" s="53" t="s">
        <v>41</v>
      </c>
      <c r="AM214" s="53" t="s">
        <v>41</v>
      </c>
      <c r="AN214" s="53" t="s">
        <v>41</v>
      </c>
      <c r="AO214" s="53" t="s">
        <v>41</v>
      </c>
      <c r="AP214" s="53" t="s">
        <v>41</v>
      </c>
      <c r="AQ214" s="53" t="s">
        <v>41</v>
      </c>
      <c r="AR214" s="58">
        <v>8</v>
      </c>
      <c r="AS214" s="58">
        <v>2</v>
      </c>
    </row>
    <row r="215" spans="1:45" x14ac:dyDescent="0.3">
      <c r="A215" s="53" t="s">
        <v>945</v>
      </c>
      <c r="B215" s="58" t="s">
        <v>36</v>
      </c>
      <c r="C215" s="58">
        <v>19</v>
      </c>
      <c r="D215" s="74">
        <v>45364</v>
      </c>
      <c r="F215" s="58" t="s">
        <v>359</v>
      </c>
      <c r="G215" s="58">
        <v>37</v>
      </c>
      <c r="H215" s="58" t="s">
        <v>38</v>
      </c>
      <c r="I215" s="58" t="s">
        <v>693</v>
      </c>
      <c r="J215" s="58" t="s">
        <v>38</v>
      </c>
      <c r="K215" s="58" t="s">
        <v>693</v>
      </c>
      <c r="L215" s="58" t="s">
        <v>38</v>
      </c>
      <c r="M215" s="58" t="s">
        <v>693</v>
      </c>
      <c r="N215" s="58" t="s">
        <v>38</v>
      </c>
      <c r="O215" s="58" t="s">
        <v>693</v>
      </c>
      <c r="P215" s="58" t="s">
        <v>104</v>
      </c>
      <c r="Q215" s="58" t="s">
        <v>693</v>
      </c>
      <c r="R215" s="58" t="s">
        <v>38</v>
      </c>
      <c r="S215" s="58" t="s">
        <v>378</v>
      </c>
      <c r="T215" s="58" t="s">
        <v>38</v>
      </c>
      <c r="U215" s="58" t="s">
        <v>43</v>
      </c>
      <c r="V215" s="58" t="s">
        <v>41</v>
      </c>
      <c r="W215" s="58"/>
      <c r="AD215" s="58" t="s">
        <v>72</v>
      </c>
      <c r="AE215" s="58" t="s">
        <v>498</v>
      </c>
      <c r="AF215" s="58">
        <v>56</v>
      </c>
      <c r="AG215" s="58">
        <v>1.85</v>
      </c>
      <c r="AH215" s="58">
        <v>16.362308254200144</v>
      </c>
      <c r="AI215" s="58" t="s">
        <v>68</v>
      </c>
      <c r="AJ215" s="53" t="s">
        <v>41</v>
      </c>
      <c r="AK215" s="53" t="s">
        <v>41</v>
      </c>
      <c r="AL215" s="53" t="s">
        <v>41</v>
      </c>
      <c r="AM215" s="53" t="s">
        <v>41</v>
      </c>
      <c r="AN215" s="53" t="s">
        <v>41</v>
      </c>
      <c r="AO215" s="53" t="s">
        <v>41</v>
      </c>
      <c r="AP215" s="53" t="s">
        <v>41</v>
      </c>
      <c r="AQ215" s="53" t="s">
        <v>41</v>
      </c>
      <c r="AR215" s="58">
        <v>2</v>
      </c>
      <c r="AS215" s="58">
        <v>2</v>
      </c>
    </row>
    <row r="216" spans="1:45" x14ac:dyDescent="0.3">
      <c r="A216" s="53" t="s">
        <v>946</v>
      </c>
      <c r="B216" s="58" t="s">
        <v>36</v>
      </c>
      <c r="C216" s="58">
        <v>38</v>
      </c>
      <c r="D216" s="65">
        <v>45418</v>
      </c>
      <c r="F216" s="58" t="s">
        <v>359</v>
      </c>
      <c r="G216" s="58">
        <v>37</v>
      </c>
      <c r="H216" s="58" t="s">
        <v>38</v>
      </c>
      <c r="I216" s="58" t="s">
        <v>378</v>
      </c>
      <c r="J216" s="58" t="s">
        <v>41</v>
      </c>
      <c r="K216" s="58"/>
      <c r="L216" s="58" t="s">
        <v>41</v>
      </c>
      <c r="M216" s="58"/>
      <c r="N216" s="58" t="s">
        <v>41</v>
      </c>
      <c r="O216" s="58"/>
      <c r="P216" s="58" t="s">
        <v>41</v>
      </c>
      <c r="Q216" s="58"/>
      <c r="R216" s="58" t="s">
        <v>38</v>
      </c>
      <c r="S216" s="58" t="s">
        <v>146</v>
      </c>
      <c r="T216" s="58" t="s">
        <v>41</v>
      </c>
      <c r="U216" s="58"/>
      <c r="V216" s="58" t="s">
        <v>41</v>
      </c>
      <c r="W216" s="58"/>
      <c r="AD216" s="58" t="s">
        <v>72</v>
      </c>
      <c r="AE216" s="58" t="s">
        <v>174</v>
      </c>
      <c r="AF216" s="58">
        <v>52</v>
      </c>
      <c r="AG216" s="58">
        <v>1.58</v>
      </c>
      <c r="AH216" s="58">
        <v>20.82999519307803</v>
      </c>
      <c r="AI216" s="58" t="s">
        <v>37</v>
      </c>
      <c r="AJ216" s="53" t="s">
        <v>41</v>
      </c>
      <c r="AK216" s="53" t="s">
        <v>41</v>
      </c>
      <c r="AL216" s="53" t="s">
        <v>38</v>
      </c>
      <c r="AM216" s="53" t="s">
        <v>38</v>
      </c>
      <c r="AN216" s="53" t="s">
        <v>41</v>
      </c>
      <c r="AO216" s="53" t="s">
        <v>41</v>
      </c>
      <c r="AP216" s="53" t="s">
        <v>41</v>
      </c>
      <c r="AQ216" s="53" t="s">
        <v>41</v>
      </c>
      <c r="AR216" s="58">
        <v>1</v>
      </c>
      <c r="AS216" s="58">
        <v>1</v>
      </c>
    </row>
    <row r="217" spans="1:45" x14ac:dyDescent="0.3">
      <c r="A217" s="53" t="s">
        <v>947</v>
      </c>
      <c r="B217" s="58" t="s">
        <v>36</v>
      </c>
      <c r="C217" s="58">
        <v>47</v>
      </c>
      <c r="D217" s="63">
        <v>45454</v>
      </c>
      <c r="F217" s="58" t="s">
        <v>359</v>
      </c>
      <c r="G217" s="58">
        <v>38</v>
      </c>
      <c r="H217" s="58" t="s">
        <v>38</v>
      </c>
      <c r="I217" s="58" t="s">
        <v>43</v>
      </c>
      <c r="J217" s="58" t="s">
        <v>38</v>
      </c>
      <c r="K217" s="58" t="s">
        <v>43</v>
      </c>
      <c r="L217" s="58" t="s">
        <v>38</v>
      </c>
      <c r="M217" s="58" t="s">
        <v>43</v>
      </c>
      <c r="N217" s="58" t="s">
        <v>38</v>
      </c>
      <c r="O217" s="58" t="s">
        <v>43</v>
      </c>
      <c r="P217" s="58" t="s">
        <v>41</v>
      </c>
      <c r="Q217" s="58"/>
      <c r="R217" s="58" t="s">
        <v>41</v>
      </c>
      <c r="S217" s="58"/>
      <c r="T217" s="58" t="s">
        <v>41</v>
      </c>
      <c r="U217" s="58"/>
      <c r="V217" s="58" t="s">
        <v>41</v>
      </c>
      <c r="W217" s="58"/>
      <c r="AD217" s="58" t="s">
        <v>45</v>
      </c>
      <c r="AE217" s="58" t="s">
        <v>406</v>
      </c>
      <c r="AF217" s="58">
        <v>58</v>
      </c>
      <c r="AG217" s="58">
        <v>1.41</v>
      </c>
      <c r="AH217" s="58">
        <v>29.173582817765709</v>
      </c>
      <c r="AI217" s="58" t="s">
        <v>68</v>
      </c>
      <c r="AJ217" s="53" t="s">
        <v>41</v>
      </c>
      <c r="AK217" s="53" t="s">
        <v>41</v>
      </c>
      <c r="AL217" s="53" t="s">
        <v>41</v>
      </c>
      <c r="AM217" s="53" t="s">
        <v>38</v>
      </c>
      <c r="AN217" s="53" t="s">
        <v>41</v>
      </c>
      <c r="AO217" s="53" t="s">
        <v>41</v>
      </c>
      <c r="AP217" s="53" t="s">
        <v>41</v>
      </c>
      <c r="AQ217" s="53" t="s">
        <v>41</v>
      </c>
      <c r="AR217" s="58">
        <v>2</v>
      </c>
      <c r="AS217" s="58">
        <v>3</v>
      </c>
    </row>
    <row r="218" spans="1:45" x14ac:dyDescent="0.3">
      <c r="A218" s="53" t="s">
        <v>948</v>
      </c>
      <c r="B218" s="58" t="s">
        <v>87</v>
      </c>
      <c r="C218" s="58">
        <v>27</v>
      </c>
      <c r="D218" s="63">
        <v>45260</v>
      </c>
      <c r="F218" s="58" t="s">
        <v>359</v>
      </c>
      <c r="G218" s="58">
        <v>38</v>
      </c>
      <c r="H218" s="58" t="s">
        <v>38</v>
      </c>
      <c r="I218" s="58" t="s">
        <v>132</v>
      </c>
      <c r="J218" s="58" t="s">
        <v>38</v>
      </c>
      <c r="K218" s="58" t="s">
        <v>132</v>
      </c>
      <c r="L218" s="58" t="s">
        <v>38</v>
      </c>
      <c r="M218" s="58" t="s">
        <v>43</v>
      </c>
      <c r="N218" s="58" t="s">
        <v>38</v>
      </c>
      <c r="O218" s="58" t="s">
        <v>132</v>
      </c>
      <c r="P218" s="58" t="s">
        <v>104</v>
      </c>
      <c r="Q218" s="58" t="s">
        <v>132</v>
      </c>
      <c r="R218" s="58" t="s">
        <v>38</v>
      </c>
      <c r="S218" s="58" t="s">
        <v>132</v>
      </c>
      <c r="T218" s="58" t="s">
        <v>41</v>
      </c>
      <c r="U218" s="58"/>
      <c r="V218" s="58" t="s">
        <v>41</v>
      </c>
      <c r="W218" s="58"/>
      <c r="AD218" s="58" t="s">
        <v>72</v>
      </c>
      <c r="AE218" s="58" t="s">
        <v>71</v>
      </c>
      <c r="AF218" s="58">
        <v>50</v>
      </c>
      <c r="AG218" s="58">
        <v>1.5</v>
      </c>
      <c r="AH218" s="58">
        <v>22.222222222222221</v>
      </c>
      <c r="AI218" s="58" t="s">
        <v>68</v>
      </c>
      <c r="AJ218" s="53" t="s">
        <v>41</v>
      </c>
      <c r="AK218" s="53" t="s">
        <v>41</v>
      </c>
      <c r="AL218" s="53" t="s">
        <v>41</v>
      </c>
      <c r="AM218" s="53" t="s">
        <v>41</v>
      </c>
      <c r="AN218" s="53" t="s">
        <v>41</v>
      </c>
      <c r="AO218" s="53" t="s">
        <v>41</v>
      </c>
      <c r="AP218" s="53" t="s">
        <v>41</v>
      </c>
      <c r="AQ218" s="53" t="s">
        <v>41</v>
      </c>
      <c r="AR218" s="58">
        <v>2</v>
      </c>
      <c r="AS218" s="58">
        <v>1</v>
      </c>
    </row>
    <row r="219" spans="1:45" x14ac:dyDescent="0.3">
      <c r="A219" s="53" t="s">
        <v>949</v>
      </c>
      <c r="B219" s="58" t="s">
        <v>87</v>
      </c>
      <c r="C219" s="58">
        <v>39</v>
      </c>
      <c r="D219" s="63">
        <v>45260</v>
      </c>
      <c r="F219" s="58" t="s">
        <v>359</v>
      </c>
      <c r="G219" s="58">
        <v>37</v>
      </c>
      <c r="H219" s="58" t="s">
        <v>38</v>
      </c>
      <c r="I219" s="58" t="s">
        <v>65</v>
      </c>
      <c r="J219" s="58" t="s">
        <v>38</v>
      </c>
      <c r="K219" s="58" t="s">
        <v>51</v>
      </c>
      <c r="L219" s="58" t="s">
        <v>38</v>
      </c>
      <c r="M219" s="58" t="s">
        <v>65</v>
      </c>
      <c r="N219" s="58" t="s">
        <v>38</v>
      </c>
      <c r="O219" s="58" t="s">
        <v>65</v>
      </c>
      <c r="P219" s="58" t="s">
        <v>41</v>
      </c>
      <c r="Q219" s="58"/>
      <c r="R219" s="58" t="s">
        <v>38</v>
      </c>
      <c r="S219" s="58" t="s">
        <v>53</v>
      </c>
      <c r="T219" s="58" t="s">
        <v>41</v>
      </c>
      <c r="U219" s="58"/>
      <c r="V219" s="58" t="s">
        <v>41</v>
      </c>
      <c r="W219" s="58"/>
      <c r="AD219" s="58" t="s">
        <v>99</v>
      </c>
      <c r="AE219" s="58" t="s">
        <v>79</v>
      </c>
      <c r="AF219" s="58">
        <v>45</v>
      </c>
      <c r="AG219" s="58">
        <v>1.57</v>
      </c>
      <c r="AH219" s="58">
        <v>18.25631871475516</v>
      </c>
      <c r="AI219" s="58" t="s">
        <v>68</v>
      </c>
      <c r="AJ219" s="53" t="s">
        <v>41</v>
      </c>
      <c r="AK219" s="53" t="s">
        <v>41</v>
      </c>
      <c r="AL219" s="53" t="s">
        <v>41</v>
      </c>
      <c r="AM219" s="53" t="s">
        <v>41</v>
      </c>
      <c r="AN219" s="53" t="s">
        <v>41</v>
      </c>
      <c r="AO219" s="53" t="s">
        <v>41</v>
      </c>
      <c r="AP219" s="53" t="s">
        <v>41</v>
      </c>
      <c r="AQ219" s="53" t="s">
        <v>41</v>
      </c>
      <c r="AR219" s="58">
        <v>6</v>
      </c>
      <c r="AS219" s="58">
        <v>1</v>
      </c>
    </row>
    <row r="220" spans="1:45" x14ac:dyDescent="0.3">
      <c r="A220" s="53" t="s">
        <v>950</v>
      </c>
      <c r="B220" s="58" t="s">
        <v>36</v>
      </c>
      <c r="C220" s="58">
        <v>22</v>
      </c>
      <c r="D220" s="63">
        <v>44979</v>
      </c>
      <c r="F220" s="58" t="s">
        <v>359</v>
      </c>
      <c r="G220" s="58">
        <v>38</v>
      </c>
      <c r="H220" s="58" t="s">
        <v>41</v>
      </c>
      <c r="I220" s="58"/>
      <c r="J220" s="58" t="s">
        <v>38</v>
      </c>
      <c r="K220" s="58" t="s">
        <v>53</v>
      </c>
      <c r="L220" s="58" t="s">
        <v>38</v>
      </c>
      <c r="M220" s="58" t="s">
        <v>43</v>
      </c>
      <c r="N220" s="58" t="s">
        <v>38</v>
      </c>
      <c r="O220" s="58" t="s">
        <v>51</v>
      </c>
      <c r="P220" s="58" t="s">
        <v>41</v>
      </c>
      <c r="Q220" s="58"/>
      <c r="R220" s="58" t="s">
        <v>41</v>
      </c>
      <c r="S220" s="58"/>
      <c r="T220" s="58" t="s">
        <v>41</v>
      </c>
      <c r="U220" s="58"/>
      <c r="V220" s="58" t="s">
        <v>41</v>
      </c>
      <c r="W220" s="58"/>
      <c r="AD220" s="58" t="s">
        <v>57</v>
      </c>
      <c r="AF220" s="58">
        <v>53</v>
      </c>
      <c r="AG220" s="58">
        <v>1.66</v>
      </c>
      <c r="AH220" s="58">
        <v>19.233560749020178</v>
      </c>
      <c r="AI220" s="58" t="s">
        <v>68</v>
      </c>
      <c r="AJ220" s="53" t="s">
        <v>41</v>
      </c>
      <c r="AK220" s="53" t="s">
        <v>41</v>
      </c>
      <c r="AL220" s="53" t="s">
        <v>41</v>
      </c>
      <c r="AM220" s="53" t="s">
        <v>38</v>
      </c>
      <c r="AN220" s="53" t="s">
        <v>41</v>
      </c>
      <c r="AO220" s="53" t="s">
        <v>41</v>
      </c>
      <c r="AP220" s="53" t="s">
        <v>41</v>
      </c>
      <c r="AQ220" s="53" t="s">
        <v>41</v>
      </c>
      <c r="AR220" s="58">
        <v>6</v>
      </c>
      <c r="AS220" s="58">
        <v>3</v>
      </c>
    </row>
    <row r="221" spans="1:45" x14ac:dyDescent="0.3">
      <c r="B221" s="58"/>
      <c r="C221" s="58"/>
      <c r="AD221" s="58"/>
      <c r="AF221" s="58"/>
      <c r="AG221" s="58"/>
      <c r="AH221" s="58"/>
    </row>
    <row r="222" spans="1:45" x14ac:dyDescent="0.3">
      <c r="B222" s="58"/>
      <c r="C222" s="58"/>
      <c r="AD222" s="58"/>
      <c r="AF222" s="58"/>
      <c r="AG222" s="58"/>
      <c r="AH222" s="58"/>
    </row>
    <row r="223" spans="1:45" x14ac:dyDescent="0.3">
      <c r="B223" s="58"/>
      <c r="C223" s="58"/>
      <c r="AD223" s="58"/>
      <c r="AF223" s="58"/>
      <c r="AG223" s="58"/>
      <c r="AH223" s="58"/>
    </row>
    <row r="224" spans="1:45" x14ac:dyDescent="0.3">
      <c r="B224" s="58"/>
      <c r="C224" s="58"/>
      <c r="AD224" s="58"/>
      <c r="AF224" s="58"/>
      <c r="AG224" s="58"/>
      <c r="AH224" s="58"/>
    </row>
    <row r="225" spans="2:34" x14ac:dyDescent="0.3">
      <c r="B225" s="58"/>
      <c r="C225" s="58"/>
      <c r="AD225" s="58"/>
      <c r="AF225" s="58"/>
      <c r="AG225" s="58"/>
      <c r="AH225" s="58"/>
    </row>
    <row r="226" spans="2:34" x14ac:dyDescent="0.3">
      <c r="B226" s="58"/>
      <c r="C226" s="58"/>
      <c r="AD226" s="58"/>
      <c r="AF226" s="58"/>
      <c r="AG226" s="58"/>
      <c r="AH226" s="58"/>
    </row>
    <row r="227" spans="2:34" x14ac:dyDescent="0.3">
      <c r="B227" s="58"/>
      <c r="C227" s="58"/>
      <c r="AD227" s="58"/>
      <c r="AF227" s="58"/>
      <c r="AG227" s="58"/>
      <c r="AH227" s="58"/>
    </row>
    <row r="228" spans="2:34" x14ac:dyDescent="0.3">
      <c r="B228" s="58"/>
      <c r="C228" s="58"/>
      <c r="AD228" s="58"/>
      <c r="AF228" s="58"/>
      <c r="AG228" s="58"/>
      <c r="AH228" s="58"/>
    </row>
    <row r="229" spans="2:34" x14ac:dyDescent="0.3">
      <c r="B229" s="58"/>
      <c r="C229" s="58"/>
      <c r="AD229" s="58"/>
      <c r="AF229" s="58"/>
      <c r="AG229" s="58"/>
      <c r="AH229" s="58"/>
    </row>
    <row r="230" spans="2:34" x14ac:dyDescent="0.3">
      <c r="B230" s="58"/>
      <c r="C230" s="58"/>
      <c r="AD230" s="58"/>
      <c r="AF230" s="58"/>
      <c r="AG230" s="58"/>
      <c r="AH230" s="58"/>
    </row>
    <row r="231" spans="2:34" x14ac:dyDescent="0.3">
      <c r="B231" s="58"/>
      <c r="C231" s="58"/>
      <c r="AD231" s="58"/>
      <c r="AF231" s="58"/>
      <c r="AG231" s="58"/>
      <c r="AH231" s="58"/>
    </row>
    <row r="232" spans="2:34" x14ac:dyDescent="0.3">
      <c r="B232" s="58"/>
      <c r="C232" s="58"/>
      <c r="AD232" s="58"/>
      <c r="AF232" s="58"/>
      <c r="AG232" s="58"/>
      <c r="AH232" s="58"/>
    </row>
    <row r="233" spans="2:34" x14ac:dyDescent="0.3">
      <c r="B233" s="58"/>
      <c r="C233" s="58"/>
      <c r="AD233" s="58"/>
      <c r="AF233" s="58"/>
      <c r="AG233" s="58"/>
      <c r="AH233" s="58"/>
    </row>
    <row r="234" spans="2:34" x14ac:dyDescent="0.3">
      <c r="B234" s="58"/>
      <c r="C234" s="58"/>
      <c r="AD234" s="58"/>
      <c r="AF234" s="58"/>
      <c r="AG234" s="58"/>
      <c r="AH234" s="58"/>
    </row>
    <row r="235" spans="2:34" x14ac:dyDescent="0.3">
      <c r="B235" s="58"/>
      <c r="C235" s="58"/>
      <c r="AD235" s="58"/>
      <c r="AF235" s="58"/>
      <c r="AG235" s="58"/>
      <c r="AH235" s="58"/>
    </row>
    <row r="236" spans="2:34" x14ac:dyDescent="0.3">
      <c r="B236" s="58"/>
      <c r="C236" s="58"/>
      <c r="AD236" s="58"/>
      <c r="AF236" s="58"/>
      <c r="AG236" s="58"/>
      <c r="AH236" s="58"/>
    </row>
    <row r="237" spans="2:34" x14ac:dyDescent="0.3">
      <c r="B237" s="58"/>
      <c r="C237" s="58"/>
      <c r="AD237" s="58"/>
      <c r="AF237" s="58"/>
      <c r="AG237" s="58"/>
      <c r="AH237" s="58"/>
    </row>
    <row r="238" spans="2:34" x14ac:dyDescent="0.3">
      <c r="B238" s="58"/>
      <c r="C238" s="58"/>
      <c r="AD238" s="58"/>
      <c r="AF238" s="58"/>
      <c r="AG238" s="58"/>
      <c r="AH238" s="58"/>
    </row>
    <row r="239" spans="2:34" x14ac:dyDescent="0.3">
      <c r="B239" s="58"/>
      <c r="C239" s="58"/>
      <c r="AD239" s="58"/>
      <c r="AF239" s="58"/>
      <c r="AG239" s="58"/>
      <c r="AH239" s="58"/>
    </row>
    <row r="240" spans="2:34" x14ac:dyDescent="0.3">
      <c r="B240" s="58"/>
      <c r="C240" s="58"/>
      <c r="AD240" s="58"/>
      <c r="AF240" s="58"/>
      <c r="AG240" s="58"/>
      <c r="AH240" s="58"/>
    </row>
    <row r="241" spans="2:34" x14ac:dyDescent="0.3">
      <c r="B241" s="58"/>
      <c r="C241" s="58"/>
      <c r="AD241" s="58"/>
      <c r="AF241" s="58"/>
      <c r="AG241" s="58"/>
      <c r="AH241" s="58"/>
    </row>
    <row r="242" spans="2:34" x14ac:dyDescent="0.3">
      <c r="B242" s="58"/>
      <c r="C242" s="58"/>
      <c r="AD242" s="58"/>
      <c r="AF242" s="58"/>
      <c r="AG242" s="58"/>
      <c r="AH242" s="58"/>
    </row>
    <row r="243" spans="2:34" x14ac:dyDescent="0.3">
      <c r="B243" s="58"/>
      <c r="C243" s="58"/>
      <c r="AD243" s="58"/>
      <c r="AF243" s="58"/>
      <c r="AG243" s="58"/>
      <c r="AH243" s="58"/>
    </row>
    <row r="244" spans="2:34" x14ac:dyDescent="0.3">
      <c r="B244" s="58"/>
      <c r="C244" s="58"/>
      <c r="AD244" s="58"/>
      <c r="AF244" s="58"/>
      <c r="AG244" s="58"/>
      <c r="AH244" s="58"/>
    </row>
    <row r="245" spans="2:34" x14ac:dyDescent="0.3">
      <c r="B245" s="58"/>
      <c r="C245" s="58"/>
      <c r="AD245" s="58"/>
      <c r="AF245" s="58"/>
      <c r="AG245" s="58"/>
      <c r="AH245" s="58"/>
    </row>
    <row r="246" spans="2:34" x14ac:dyDescent="0.3">
      <c r="B246" s="58"/>
      <c r="C246" s="58"/>
      <c r="AD246" s="58"/>
      <c r="AF246" s="58"/>
      <c r="AG246" s="58"/>
      <c r="AH246" s="58"/>
    </row>
    <row r="247" spans="2:34" x14ac:dyDescent="0.3">
      <c r="B247" s="58"/>
      <c r="C247" s="58"/>
      <c r="AD247" s="58"/>
      <c r="AF247" s="58"/>
      <c r="AG247" s="58"/>
      <c r="AH247" s="58"/>
    </row>
    <row r="248" spans="2:34" x14ac:dyDescent="0.3">
      <c r="B248" s="58"/>
      <c r="C248" s="58"/>
      <c r="AD248" s="58"/>
      <c r="AF248" s="58"/>
      <c r="AG248" s="58"/>
      <c r="AH248" s="58"/>
    </row>
    <row r="249" spans="2:34" x14ac:dyDescent="0.3">
      <c r="B249" s="58"/>
      <c r="C249" s="58"/>
      <c r="AD249" s="58"/>
      <c r="AF249" s="58"/>
      <c r="AG249" s="58"/>
      <c r="AH249" s="58"/>
    </row>
    <row r="250" spans="2:34" x14ac:dyDescent="0.3">
      <c r="B250" s="58"/>
      <c r="C250" s="58"/>
      <c r="AD250" s="58"/>
      <c r="AF250" s="58"/>
      <c r="AG250" s="58"/>
      <c r="AH250" s="58"/>
    </row>
    <row r="251" spans="2:34" x14ac:dyDescent="0.3">
      <c r="B251" s="58"/>
      <c r="C251" s="58"/>
      <c r="AD251" s="58"/>
      <c r="AF251" s="58"/>
      <c r="AG251" s="58"/>
      <c r="AH251" s="58"/>
    </row>
    <row r="252" spans="2:34" x14ac:dyDescent="0.3">
      <c r="B252" s="58"/>
      <c r="C252" s="58"/>
      <c r="AD252" s="58"/>
      <c r="AF252" s="58"/>
      <c r="AG252" s="58"/>
      <c r="AH252" s="58"/>
    </row>
    <row r="253" spans="2:34" x14ac:dyDescent="0.3">
      <c r="B253" s="58"/>
      <c r="C253" s="58"/>
      <c r="AD253" s="58"/>
      <c r="AF253" s="58"/>
      <c r="AG253" s="58"/>
      <c r="AH253" s="58"/>
    </row>
    <row r="254" spans="2:34" x14ac:dyDescent="0.3">
      <c r="B254" s="58"/>
      <c r="C254" s="58"/>
      <c r="AD254" s="58"/>
      <c r="AF254" s="58"/>
      <c r="AG254" s="58"/>
      <c r="AH254" s="58"/>
    </row>
    <row r="255" spans="2:34" x14ac:dyDescent="0.3">
      <c r="B255" s="58"/>
      <c r="C255" s="58"/>
      <c r="AD255" s="58"/>
      <c r="AF255" s="58"/>
      <c r="AG255" s="58"/>
      <c r="AH255" s="58"/>
    </row>
    <row r="256" spans="2:34" x14ac:dyDescent="0.3">
      <c r="B256" s="58"/>
      <c r="C256" s="58"/>
      <c r="AD256" s="58"/>
      <c r="AF256" s="58"/>
      <c r="AG256" s="58"/>
      <c r="AH256" s="58"/>
    </row>
    <row r="257" spans="2:34" x14ac:dyDescent="0.3">
      <c r="B257" s="58"/>
      <c r="C257" s="58"/>
      <c r="AD257" s="58"/>
      <c r="AF257" s="58"/>
      <c r="AG257" s="58"/>
      <c r="AH257" s="58"/>
    </row>
    <row r="258" spans="2:34" x14ac:dyDescent="0.3">
      <c r="B258" s="58"/>
      <c r="C258" s="58"/>
      <c r="AD258" s="58"/>
      <c r="AF258" s="58"/>
      <c r="AG258" s="58"/>
      <c r="AH258" s="58"/>
    </row>
    <row r="259" spans="2:34" x14ac:dyDescent="0.3">
      <c r="B259" s="58"/>
      <c r="C259" s="58"/>
      <c r="AD259" s="58"/>
      <c r="AF259" s="58"/>
      <c r="AG259" s="58"/>
      <c r="AH259" s="58"/>
    </row>
    <row r="260" spans="2:34" x14ac:dyDescent="0.3">
      <c r="B260" s="58"/>
      <c r="C260" s="58"/>
      <c r="AD260" s="58"/>
      <c r="AF260" s="58"/>
      <c r="AG260" s="58"/>
      <c r="AH260" s="58"/>
    </row>
    <row r="261" spans="2:34" x14ac:dyDescent="0.3">
      <c r="B261" s="58"/>
      <c r="C261" s="58"/>
      <c r="AD261" s="58"/>
      <c r="AF261" s="58"/>
      <c r="AG261" s="58"/>
      <c r="AH261" s="58"/>
    </row>
    <row r="262" spans="2:34" x14ac:dyDescent="0.3">
      <c r="B262" s="58"/>
      <c r="C262" s="58"/>
      <c r="AD262" s="58"/>
      <c r="AF262" s="58"/>
      <c r="AG262" s="58"/>
      <c r="AH262" s="58"/>
    </row>
    <row r="263" spans="2:34" x14ac:dyDescent="0.3">
      <c r="B263" s="58"/>
      <c r="C263" s="58"/>
      <c r="AD263" s="58"/>
      <c r="AF263" s="58"/>
      <c r="AG263" s="58"/>
      <c r="AH263" s="58"/>
    </row>
    <row r="264" spans="2:34" x14ac:dyDescent="0.3">
      <c r="B264" s="58"/>
      <c r="C264" s="58"/>
      <c r="AD264" s="58"/>
      <c r="AF264" s="58"/>
      <c r="AG264" s="58"/>
      <c r="AH264" s="58"/>
    </row>
    <row r="265" spans="2:34" x14ac:dyDescent="0.3">
      <c r="B265" s="58"/>
      <c r="C265" s="58"/>
      <c r="AD265" s="58"/>
      <c r="AF265" s="58"/>
      <c r="AG265" s="58"/>
      <c r="AH265" s="58"/>
    </row>
    <row r="266" spans="2:34" x14ac:dyDescent="0.3">
      <c r="B266" s="58"/>
      <c r="C266" s="58"/>
      <c r="AD266" s="58"/>
      <c r="AF266" s="58"/>
      <c r="AG266" s="58"/>
      <c r="AH266" s="58"/>
    </row>
    <row r="267" spans="2:34" x14ac:dyDescent="0.3">
      <c r="B267" s="58"/>
      <c r="C267" s="58"/>
      <c r="AD267" s="58"/>
      <c r="AF267" s="58"/>
      <c r="AG267" s="58"/>
      <c r="AH267" s="58"/>
    </row>
    <row r="268" spans="2:34" x14ac:dyDescent="0.3">
      <c r="B268" s="58"/>
      <c r="C268" s="58"/>
      <c r="AD268" s="58"/>
      <c r="AF268" s="58"/>
      <c r="AG268" s="58"/>
      <c r="AH268" s="58"/>
    </row>
    <row r="269" spans="2:34" x14ac:dyDescent="0.3">
      <c r="B269" s="58"/>
      <c r="C269" s="58"/>
      <c r="AD269" s="58"/>
      <c r="AF269" s="58"/>
      <c r="AG269" s="58"/>
      <c r="AH269" s="58"/>
    </row>
    <row r="270" spans="2:34" x14ac:dyDescent="0.3">
      <c r="B270" s="58"/>
      <c r="C270" s="58"/>
      <c r="AD270" s="58"/>
      <c r="AF270" s="58"/>
      <c r="AG270" s="58"/>
      <c r="AH270" s="58"/>
    </row>
    <row r="271" spans="2:34" x14ac:dyDescent="0.3">
      <c r="B271" s="58"/>
      <c r="C271" s="58"/>
      <c r="AD271" s="58"/>
      <c r="AF271" s="58"/>
      <c r="AG271" s="58"/>
      <c r="AH271" s="58"/>
    </row>
    <row r="272" spans="2:34" x14ac:dyDescent="0.3">
      <c r="B272" s="58"/>
      <c r="C272" s="58"/>
      <c r="AD272" s="58"/>
      <c r="AF272" s="58"/>
      <c r="AG272" s="58"/>
      <c r="AH272" s="58"/>
    </row>
    <row r="273" spans="2:34" x14ac:dyDescent="0.3">
      <c r="B273" s="58"/>
      <c r="C273" s="58"/>
      <c r="AD273" s="58"/>
      <c r="AF273" s="58"/>
      <c r="AG273" s="58"/>
      <c r="AH273" s="58"/>
    </row>
    <row r="274" spans="2:34" x14ac:dyDescent="0.3">
      <c r="B274" s="58"/>
      <c r="C274" s="58"/>
      <c r="AD274" s="58"/>
      <c r="AF274" s="58"/>
      <c r="AG274" s="58"/>
      <c r="AH274" s="58"/>
    </row>
    <row r="275" spans="2:34" x14ac:dyDescent="0.3">
      <c r="B275" s="58"/>
      <c r="C275" s="58"/>
      <c r="AD275" s="58"/>
      <c r="AF275" s="58"/>
      <c r="AG275" s="58"/>
      <c r="AH275" s="58"/>
    </row>
    <row r="276" spans="2:34" x14ac:dyDescent="0.3">
      <c r="B276" s="58"/>
      <c r="C276" s="58"/>
      <c r="AD276" s="58"/>
      <c r="AF276" s="58"/>
      <c r="AG276" s="58"/>
      <c r="AH276" s="58"/>
    </row>
    <row r="277" spans="2:34" x14ac:dyDescent="0.3">
      <c r="B277" s="58"/>
      <c r="C277" s="58"/>
      <c r="AD277" s="58"/>
      <c r="AF277" s="58"/>
      <c r="AG277" s="58"/>
      <c r="AH277" s="58"/>
    </row>
    <row r="278" spans="2:34" x14ac:dyDescent="0.3">
      <c r="B278" s="58"/>
      <c r="C278" s="58"/>
      <c r="AD278" s="58"/>
      <c r="AF278" s="58"/>
      <c r="AG278" s="58"/>
      <c r="AH278" s="58"/>
    </row>
    <row r="279" spans="2:34" x14ac:dyDescent="0.3">
      <c r="B279" s="58"/>
      <c r="C279" s="58"/>
      <c r="AD279" s="58"/>
      <c r="AF279" s="58"/>
      <c r="AG279" s="58"/>
      <c r="AH279" s="58"/>
    </row>
    <row r="280" spans="2:34" x14ac:dyDescent="0.3">
      <c r="B280" s="58"/>
      <c r="C280" s="58"/>
      <c r="AD280" s="58"/>
      <c r="AF280" s="58"/>
      <c r="AG280" s="58"/>
      <c r="AH280" s="58"/>
    </row>
    <row r="281" spans="2:34" x14ac:dyDescent="0.3">
      <c r="B281" s="58"/>
      <c r="C281" s="58"/>
      <c r="AD281" s="58"/>
      <c r="AF281" s="58"/>
      <c r="AG281" s="58"/>
      <c r="AH281" s="58"/>
    </row>
    <row r="282" spans="2:34" x14ac:dyDescent="0.3">
      <c r="B282" s="58"/>
      <c r="C282" s="58"/>
      <c r="AD282" s="58"/>
      <c r="AF282" s="58"/>
      <c r="AG282" s="58"/>
      <c r="AH282" s="58"/>
    </row>
    <row r="283" spans="2:34" x14ac:dyDescent="0.3">
      <c r="B283" s="58"/>
      <c r="C283" s="58"/>
      <c r="AD283" s="58"/>
      <c r="AF283" s="58"/>
      <c r="AG283" s="58"/>
      <c r="AH283" s="58"/>
    </row>
    <row r="284" spans="2:34" x14ac:dyDescent="0.3">
      <c r="B284" s="58"/>
      <c r="C284" s="58"/>
      <c r="AD284" s="58"/>
      <c r="AF284" s="58"/>
      <c r="AG284" s="58"/>
      <c r="AH284" s="58"/>
    </row>
    <row r="285" spans="2:34" x14ac:dyDescent="0.3">
      <c r="B285" s="58"/>
      <c r="C285" s="58"/>
      <c r="AD285" s="58"/>
      <c r="AF285" s="58"/>
      <c r="AG285" s="58"/>
      <c r="AH285" s="58"/>
    </row>
    <row r="286" spans="2:34" x14ac:dyDescent="0.3">
      <c r="B286" s="58"/>
      <c r="C286" s="58"/>
      <c r="AD286" s="58"/>
      <c r="AF286" s="58"/>
      <c r="AG286" s="58"/>
      <c r="AH286" s="58"/>
    </row>
    <row r="287" spans="2:34" x14ac:dyDescent="0.3">
      <c r="B287" s="58"/>
      <c r="C287" s="58"/>
      <c r="AD287" s="58"/>
      <c r="AF287" s="58"/>
      <c r="AG287" s="58"/>
      <c r="AH287" s="58"/>
    </row>
    <row r="288" spans="2:34" x14ac:dyDescent="0.3">
      <c r="B288" s="58"/>
      <c r="C288" s="58"/>
      <c r="AD288" s="58"/>
      <c r="AF288" s="58"/>
      <c r="AG288" s="58"/>
      <c r="AH288" s="58"/>
    </row>
    <row r="289" spans="2:34" x14ac:dyDescent="0.3">
      <c r="B289" s="58"/>
      <c r="C289" s="58"/>
      <c r="AD289" s="58"/>
      <c r="AF289" s="58"/>
      <c r="AG289" s="58"/>
      <c r="AH289" s="58"/>
    </row>
    <row r="290" spans="2:34" x14ac:dyDescent="0.3">
      <c r="B290" s="58"/>
      <c r="C290" s="58"/>
      <c r="AD290" s="58"/>
      <c r="AF290" s="58"/>
      <c r="AG290" s="58"/>
      <c r="AH290" s="58"/>
    </row>
    <row r="291" spans="2:34" x14ac:dyDescent="0.3">
      <c r="B291" s="58"/>
      <c r="C291" s="58"/>
      <c r="AD291" s="58"/>
      <c r="AF291" s="58"/>
      <c r="AG291" s="58"/>
      <c r="AH291" s="58"/>
    </row>
    <row r="292" spans="2:34" x14ac:dyDescent="0.3">
      <c r="B292" s="58"/>
      <c r="C292" s="58"/>
      <c r="AD292" s="58"/>
      <c r="AF292" s="58"/>
      <c r="AG292" s="58"/>
      <c r="AH292" s="58"/>
    </row>
    <row r="293" spans="2:34" x14ac:dyDescent="0.3">
      <c r="B293" s="58"/>
      <c r="C293" s="58"/>
      <c r="AD293" s="58"/>
      <c r="AF293" s="58"/>
      <c r="AG293" s="58"/>
      <c r="AH293" s="58"/>
    </row>
    <row r="294" spans="2:34" x14ac:dyDescent="0.3">
      <c r="B294" s="58"/>
      <c r="C294" s="58"/>
      <c r="AD294" s="58"/>
      <c r="AF294" s="58"/>
      <c r="AG294" s="58"/>
      <c r="AH294" s="58"/>
    </row>
    <row r="295" spans="2:34" x14ac:dyDescent="0.3">
      <c r="B295" s="58"/>
      <c r="C295" s="58"/>
      <c r="AD295" s="58"/>
      <c r="AF295" s="58"/>
      <c r="AG295" s="58"/>
      <c r="AH295" s="58"/>
    </row>
    <row r="296" spans="2:34" x14ac:dyDescent="0.3">
      <c r="B296" s="58"/>
      <c r="C296" s="58"/>
      <c r="AD296" s="58"/>
      <c r="AF296" s="58"/>
      <c r="AG296" s="58"/>
      <c r="AH296" s="58"/>
    </row>
    <row r="297" spans="2:34" x14ac:dyDescent="0.3">
      <c r="B297" s="58"/>
      <c r="C297" s="58"/>
      <c r="AD297" s="58"/>
      <c r="AF297" s="58"/>
      <c r="AG297" s="58"/>
      <c r="AH297" s="58"/>
    </row>
    <row r="298" spans="2:34" x14ac:dyDescent="0.3">
      <c r="B298" s="58"/>
      <c r="C298" s="58"/>
      <c r="AD298" s="58"/>
      <c r="AF298" s="58"/>
      <c r="AG298" s="58"/>
      <c r="AH298" s="58"/>
    </row>
    <row r="299" spans="2:34" x14ac:dyDescent="0.3">
      <c r="B299" s="58"/>
      <c r="C299" s="58"/>
      <c r="AD299" s="58"/>
      <c r="AF299" s="58"/>
      <c r="AG299" s="58"/>
      <c r="AH299" s="58"/>
    </row>
    <row r="300" spans="2:34" x14ac:dyDescent="0.3">
      <c r="B300" s="58"/>
      <c r="C300" s="58"/>
      <c r="AD300" s="58"/>
      <c r="AF300" s="58"/>
      <c r="AG300" s="58"/>
      <c r="AH300" s="58"/>
    </row>
    <row r="301" spans="2:34" x14ac:dyDescent="0.3">
      <c r="B301" s="58"/>
      <c r="C301" s="58"/>
      <c r="AD301" s="58"/>
      <c r="AF301" s="58"/>
      <c r="AG301" s="58"/>
      <c r="AH301" s="58"/>
    </row>
    <row r="302" spans="2:34" x14ac:dyDescent="0.3">
      <c r="B302" s="58"/>
      <c r="C302" s="58"/>
      <c r="AD302" s="58"/>
      <c r="AF302" s="58"/>
      <c r="AG302" s="58"/>
      <c r="AH302" s="58"/>
    </row>
    <row r="303" spans="2:34" x14ac:dyDescent="0.3">
      <c r="B303" s="58"/>
      <c r="C303" s="58"/>
      <c r="AD303" s="58"/>
      <c r="AF303" s="58"/>
      <c r="AG303" s="58"/>
      <c r="AH303" s="58"/>
    </row>
    <row r="304" spans="2:34" x14ac:dyDescent="0.3">
      <c r="B304" s="58"/>
      <c r="C304" s="58"/>
      <c r="AD304" s="58"/>
      <c r="AF304" s="58"/>
      <c r="AG304" s="58"/>
      <c r="AH304" s="58"/>
    </row>
    <row r="305" spans="2:34" x14ac:dyDescent="0.3">
      <c r="B305" s="58"/>
      <c r="C305" s="58"/>
      <c r="AD305" s="58"/>
      <c r="AF305" s="58"/>
      <c r="AG305" s="58"/>
      <c r="AH305" s="58"/>
    </row>
    <row r="306" spans="2:34" x14ac:dyDescent="0.3">
      <c r="B306" s="58"/>
      <c r="C306" s="58"/>
      <c r="AD306" s="58"/>
      <c r="AF306" s="58"/>
      <c r="AG306" s="58"/>
      <c r="AH306" s="58"/>
    </row>
    <row r="307" spans="2:34" x14ac:dyDescent="0.3">
      <c r="B307" s="58"/>
      <c r="C307" s="58"/>
      <c r="AD307" s="58"/>
      <c r="AF307" s="58"/>
      <c r="AG307" s="58"/>
      <c r="AH307" s="58"/>
    </row>
    <row r="308" spans="2:34" x14ac:dyDescent="0.3">
      <c r="B308" s="58"/>
      <c r="C308" s="58"/>
      <c r="AD308" s="58"/>
      <c r="AF308" s="58"/>
      <c r="AG308" s="58"/>
      <c r="AH308" s="58"/>
    </row>
    <row r="309" spans="2:34" x14ac:dyDescent="0.3">
      <c r="B309" s="58"/>
      <c r="C309" s="58"/>
      <c r="AD309" s="58"/>
      <c r="AF309" s="58"/>
      <c r="AG309" s="58"/>
      <c r="AH309" s="58"/>
    </row>
    <row r="310" spans="2:34" x14ac:dyDescent="0.3">
      <c r="B310" s="58"/>
      <c r="C310" s="58"/>
      <c r="AD310" s="58"/>
      <c r="AF310" s="58"/>
      <c r="AG310" s="58"/>
      <c r="AH310" s="58"/>
    </row>
    <row r="311" spans="2:34" x14ac:dyDescent="0.3">
      <c r="B311" s="58"/>
      <c r="C311" s="58"/>
      <c r="AD311" s="58"/>
      <c r="AF311" s="58"/>
      <c r="AG311" s="58"/>
      <c r="AH311" s="58"/>
    </row>
    <row r="312" spans="2:34" x14ac:dyDescent="0.3">
      <c r="B312" s="58"/>
      <c r="C312" s="58"/>
      <c r="AD312" s="58"/>
      <c r="AF312" s="58"/>
      <c r="AG312" s="58"/>
      <c r="AH312" s="58"/>
    </row>
    <row r="313" spans="2:34" x14ac:dyDescent="0.3">
      <c r="B313" s="58"/>
      <c r="C313" s="58"/>
      <c r="AD313" s="58"/>
      <c r="AF313" s="58"/>
      <c r="AG313" s="58"/>
      <c r="AH313" s="58"/>
    </row>
    <row r="314" spans="2:34" x14ac:dyDescent="0.3">
      <c r="B314" s="58"/>
      <c r="C314" s="58"/>
      <c r="AD314" s="58"/>
      <c r="AF314" s="58"/>
      <c r="AG314" s="58"/>
      <c r="AH314" s="58"/>
    </row>
    <row r="315" spans="2:34" x14ac:dyDescent="0.3">
      <c r="B315" s="58"/>
      <c r="C315" s="58"/>
      <c r="AD315" s="58"/>
      <c r="AF315" s="58"/>
      <c r="AG315" s="58"/>
      <c r="AH315" s="58"/>
    </row>
    <row r="316" spans="2:34" x14ac:dyDescent="0.3">
      <c r="B316" s="58"/>
      <c r="C316" s="58"/>
      <c r="AD316" s="58"/>
      <c r="AF316" s="58"/>
      <c r="AG316" s="58"/>
      <c r="AH316" s="58"/>
    </row>
    <row r="317" spans="2:34" x14ac:dyDescent="0.3">
      <c r="B317" s="58"/>
      <c r="C317" s="58"/>
      <c r="AD317" s="58"/>
      <c r="AF317" s="58"/>
      <c r="AG317" s="58"/>
      <c r="AH317" s="58"/>
    </row>
    <row r="318" spans="2:34" x14ac:dyDescent="0.3">
      <c r="B318" s="58"/>
      <c r="C318" s="58"/>
      <c r="AD318" s="58"/>
      <c r="AF318" s="58"/>
      <c r="AG318" s="58"/>
      <c r="AH318" s="58"/>
    </row>
    <row r="319" spans="2:34" x14ac:dyDescent="0.3">
      <c r="B319" s="58"/>
      <c r="C319" s="58"/>
      <c r="AD319" s="58"/>
      <c r="AF319" s="58"/>
      <c r="AG319" s="58"/>
      <c r="AH319" s="58"/>
    </row>
    <row r="320" spans="2:34" x14ac:dyDescent="0.3">
      <c r="B320" s="58"/>
      <c r="C320" s="58"/>
      <c r="AD320" s="58"/>
      <c r="AF320" s="58"/>
      <c r="AG320" s="58"/>
      <c r="AH320" s="58"/>
    </row>
    <row r="321" spans="2:34" x14ac:dyDescent="0.3">
      <c r="B321" s="58"/>
      <c r="C321" s="58"/>
      <c r="AD321" s="58"/>
      <c r="AF321" s="58"/>
      <c r="AG321" s="58"/>
      <c r="AH321" s="58"/>
    </row>
    <row r="322" spans="2:34" x14ac:dyDescent="0.3">
      <c r="B322" s="58"/>
      <c r="C322" s="58"/>
      <c r="AD322" s="58"/>
      <c r="AF322" s="58"/>
      <c r="AG322" s="58"/>
      <c r="AH322" s="58"/>
    </row>
    <row r="323" spans="2:34" x14ac:dyDescent="0.3">
      <c r="B323" s="58"/>
      <c r="C323" s="58"/>
      <c r="AD323" s="58"/>
      <c r="AF323" s="58"/>
      <c r="AG323" s="58"/>
      <c r="AH323" s="58"/>
    </row>
    <row r="324" spans="2:34" x14ac:dyDescent="0.3">
      <c r="B324" s="58"/>
      <c r="C324" s="58"/>
      <c r="AD324" s="58"/>
      <c r="AF324" s="58"/>
      <c r="AG324" s="58"/>
      <c r="AH324" s="58"/>
    </row>
    <row r="325" spans="2:34" x14ac:dyDescent="0.3">
      <c r="B325" s="58"/>
      <c r="C325" s="58"/>
      <c r="AD325" s="58"/>
      <c r="AF325" s="58"/>
      <c r="AG325" s="58"/>
      <c r="AH325" s="58"/>
    </row>
    <row r="326" spans="2:34" x14ac:dyDescent="0.3">
      <c r="B326" s="58"/>
      <c r="C326" s="58"/>
      <c r="AD326" s="58"/>
      <c r="AF326" s="58"/>
      <c r="AG326" s="58"/>
      <c r="AH326" s="58"/>
    </row>
    <row r="327" spans="2:34" x14ac:dyDescent="0.3">
      <c r="B327" s="58"/>
      <c r="C327" s="58"/>
      <c r="AD327" s="58"/>
      <c r="AF327" s="58"/>
      <c r="AG327" s="58"/>
      <c r="AH327" s="58"/>
    </row>
    <row r="328" spans="2:34" x14ac:dyDescent="0.3">
      <c r="B328" s="58"/>
      <c r="C328" s="58"/>
      <c r="AD328" s="58"/>
      <c r="AF328" s="58"/>
      <c r="AG328" s="58"/>
      <c r="AH328" s="58"/>
    </row>
    <row r="329" spans="2:34" x14ac:dyDescent="0.3">
      <c r="B329" s="58"/>
      <c r="C329" s="58"/>
      <c r="AD329" s="58"/>
      <c r="AF329" s="58"/>
      <c r="AG329" s="58"/>
      <c r="AH329" s="58"/>
    </row>
    <row r="330" spans="2:34" x14ac:dyDescent="0.3">
      <c r="B330" s="58"/>
      <c r="C330" s="58"/>
      <c r="AD330" s="58"/>
      <c r="AF330" s="58"/>
      <c r="AG330" s="58"/>
      <c r="AH330" s="58"/>
    </row>
    <row r="331" spans="2:34" x14ac:dyDescent="0.3">
      <c r="B331" s="58"/>
      <c r="C331" s="58"/>
      <c r="AD331" s="58"/>
      <c r="AF331" s="58"/>
      <c r="AG331" s="58"/>
      <c r="AH331" s="58"/>
    </row>
    <row r="332" spans="2:34" x14ac:dyDescent="0.3">
      <c r="B332" s="58"/>
      <c r="C332" s="58"/>
      <c r="AD332" s="58"/>
      <c r="AF332" s="58"/>
      <c r="AG332" s="58"/>
      <c r="AH332" s="58"/>
    </row>
    <row r="333" spans="2:34" x14ac:dyDescent="0.3">
      <c r="B333" s="58"/>
      <c r="C333" s="58"/>
      <c r="AD333" s="58"/>
      <c r="AF333" s="58"/>
      <c r="AG333" s="58"/>
      <c r="AH333" s="58"/>
    </row>
    <row r="334" spans="2:34" x14ac:dyDescent="0.3">
      <c r="B334" s="58"/>
      <c r="C334" s="58"/>
      <c r="AD334" s="58"/>
      <c r="AF334" s="58"/>
      <c r="AG334" s="58"/>
      <c r="AH334" s="58"/>
    </row>
    <row r="335" spans="2:34" x14ac:dyDescent="0.3">
      <c r="B335" s="58"/>
      <c r="C335" s="58"/>
      <c r="AD335" s="58"/>
      <c r="AF335" s="58"/>
      <c r="AG335" s="58"/>
      <c r="AH335" s="58"/>
    </row>
    <row r="336" spans="2:34" x14ac:dyDescent="0.3">
      <c r="B336" s="58"/>
      <c r="C336" s="58"/>
      <c r="AD336" s="58"/>
      <c r="AF336" s="58"/>
      <c r="AG336" s="58"/>
      <c r="AH336" s="58"/>
    </row>
    <row r="337" spans="2:34" x14ac:dyDescent="0.3">
      <c r="B337" s="58"/>
      <c r="C337" s="58"/>
      <c r="AD337" s="58"/>
      <c r="AF337" s="58"/>
      <c r="AG337" s="58"/>
      <c r="AH337" s="58"/>
    </row>
    <row r="338" spans="2:34" x14ac:dyDescent="0.3">
      <c r="B338" s="58"/>
      <c r="C338" s="58"/>
      <c r="AD338" s="58"/>
      <c r="AF338" s="58"/>
      <c r="AG338" s="58"/>
      <c r="AH338" s="58"/>
    </row>
    <row r="339" spans="2:34" x14ac:dyDescent="0.3">
      <c r="B339" s="58"/>
      <c r="C339" s="58"/>
      <c r="AD339" s="58"/>
      <c r="AF339" s="58"/>
      <c r="AG339" s="58"/>
      <c r="AH339" s="58"/>
    </row>
    <row r="340" spans="2:34" x14ac:dyDescent="0.3">
      <c r="B340" s="58"/>
      <c r="C340" s="58"/>
      <c r="AD340" s="58"/>
      <c r="AF340" s="58"/>
      <c r="AG340" s="58"/>
      <c r="AH340" s="58"/>
    </row>
    <row r="341" spans="2:34" x14ac:dyDescent="0.3">
      <c r="B341" s="58"/>
      <c r="C341" s="58"/>
      <c r="AD341" s="58"/>
      <c r="AF341" s="58"/>
      <c r="AG341" s="58"/>
      <c r="AH341" s="58"/>
    </row>
    <row r="342" spans="2:34" x14ac:dyDescent="0.3">
      <c r="B342" s="58"/>
      <c r="C342" s="58"/>
      <c r="AD342" s="58"/>
      <c r="AF342" s="58"/>
      <c r="AG342" s="58"/>
      <c r="AH342" s="58"/>
    </row>
    <row r="343" spans="2:34" x14ac:dyDescent="0.3">
      <c r="B343" s="58"/>
      <c r="C343" s="58"/>
      <c r="AD343" s="58"/>
      <c r="AF343" s="58"/>
      <c r="AG343" s="58"/>
      <c r="AH343" s="58"/>
    </row>
    <row r="344" spans="2:34" x14ac:dyDescent="0.3">
      <c r="B344" s="58"/>
      <c r="C344" s="58"/>
      <c r="AD344" s="58"/>
      <c r="AF344" s="58"/>
      <c r="AG344" s="58"/>
      <c r="AH344" s="58"/>
    </row>
    <row r="345" spans="2:34" x14ac:dyDescent="0.3">
      <c r="B345" s="58"/>
      <c r="C345" s="58"/>
      <c r="AD345" s="58"/>
      <c r="AF345" s="58"/>
      <c r="AG345" s="58"/>
      <c r="AH345" s="58"/>
    </row>
    <row r="346" spans="2:34" x14ac:dyDescent="0.3">
      <c r="B346" s="58"/>
      <c r="C346" s="58"/>
      <c r="AD346" s="58"/>
      <c r="AF346" s="58"/>
      <c r="AG346" s="58"/>
      <c r="AH346" s="58"/>
    </row>
    <row r="347" spans="2:34" x14ac:dyDescent="0.3">
      <c r="B347" s="58"/>
      <c r="C347" s="58"/>
      <c r="AD347" s="58"/>
      <c r="AF347" s="58"/>
      <c r="AG347" s="58"/>
      <c r="AH347" s="58"/>
    </row>
    <row r="348" spans="2:34" x14ac:dyDescent="0.3">
      <c r="B348" s="58"/>
      <c r="C348" s="58"/>
      <c r="AD348" s="58"/>
      <c r="AF348" s="58"/>
      <c r="AG348" s="58"/>
      <c r="AH348" s="58"/>
    </row>
    <row r="349" spans="2:34" x14ac:dyDescent="0.3">
      <c r="B349" s="58"/>
      <c r="C349" s="58"/>
      <c r="AD349" s="58"/>
      <c r="AF349" s="58"/>
      <c r="AG349" s="58"/>
      <c r="AH349" s="58"/>
    </row>
    <row r="350" spans="2:34" x14ac:dyDescent="0.3">
      <c r="B350" s="58"/>
      <c r="C350" s="58"/>
      <c r="AD350" s="58"/>
      <c r="AF350" s="58"/>
      <c r="AG350" s="58"/>
      <c r="AH350" s="58"/>
    </row>
    <row r="351" spans="2:34" x14ac:dyDescent="0.3">
      <c r="B351" s="58"/>
      <c r="C351" s="58"/>
      <c r="AD351" s="58"/>
      <c r="AF351" s="58"/>
      <c r="AG351" s="58"/>
      <c r="AH351" s="58"/>
    </row>
    <row r="352" spans="2:34" x14ac:dyDescent="0.3">
      <c r="B352" s="58"/>
      <c r="C352" s="58"/>
      <c r="AD352" s="58"/>
      <c r="AF352" s="58"/>
      <c r="AG352" s="58"/>
      <c r="AH352" s="58"/>
    </row>
    <row r="353" spans="2:34" x14ac:dyDescent="0.3">
      <c r="B353" s="58"/>
      <c r="C353" s="58"/>
      <c r="AD353" s="58"/>
      <c r="AF353" s="58"/>
      <c r="AG353" s="58"/>
      <c r="AH353" s="58"/>
    </row>
    <row r="354" spans="2:34" x14ac:dyDescent="0.3">
      <c r="B354" s="58"/>
      <c r="C354" s="58"/>
      <c r="AD354" s="58"/>
      <c r="AF354" s="58"/>
      <c r="AG354" s="58"/>
      <c r="AH354" s="58"/>
    </row>
    <row r="355" spans="2:34" x14ac:dyDescent="0.3">
      <c r="B355" s="58"/>
      <c r="C355" s="58"/>
      <c r="AD355" s="58"/>
      <c r="AF355" s="58"/>
      <c r="AG355" s="58"/>
      <c r="AH355" s="58"/>
    </row>
    <row r="356" spans="2:34" x14ac:dyDescent="0.3">
      <c r="B356" s="58"/>
      <c r="C356" s="58"/>
      <c r="AD356" s="58"/>
      <c r="AF356" s="58"/>
      <c r="AG356" s="58"/>
      <c r="AH356" s="58"/>
    </row>
    <row r="357" spans="2:34" x14ac:dyDescent="0.3">
      <c r="B357" s="58"/>
      <c r="C357" s="58"/>
      <c r="AD357" s="58"/>
      <c r="AF357" s="58"/>
      <c r="AG357" s="58"/>
      <c r="AH357" s="58"/>
    </row>
    <row r="358" spans="2:34" x14ac:dyDescent="0.3">
      <c r="B358" s="58"/>
      <c r="C358" s="58"/>
      <c r="AD358" s="58"/>
      <c r="AF358" s="58"/>
      <c r="AG358" s="58"/>
      <c r="AH358" s="58"/>
    </row>
    <row r="359" spans="2:34" x14ac:dyDescent="0.3">
      <c r="B359" s="58"/>
      <c r="C359" s="58"/>
      <c r="AD359" s="58"/>
      <c r="AF359" s="58"/>
      <c r="AG359" s="58"/>
      <c r="AH359" s="58"/>
    </row>
    <row r="360" spans="2:34" x14ac:dyDescent="0.3">
      <c r="B360" s="58"/>
      <c r="C360" s="58"/>
      <c r="AD360" s="58"/>
      <c r="AF360" s="58"/>
      <c r="AG360" s="58"/>
      <c r="AH360" s="58"/>
    </row>
    <row r="361" spans="2:34" x14ac:dyDescent="0.3">
      <c r="B361" s="58"/>
      <c r="C361" s="58"/>
      <c r="AD361" s="58"/>
      <c r="AF361" s="58"/>
      <c r="AG361" s="58"/>
      <c r="AH361" s="58"/>
    </row>
    <row r="362" spans="2:34" x14ac:dyDescent="0.3">
      <c r="B362" s="58"/>
      <c r="C362" s="58"/>
      <c r="AD362" s="58"/>
      <c r="AF362" s="58"/>
      <c r="AG362" s="58"/>
      <c r="AH362" s="58"/>
    </row>
    <row r="363" spans="2:34" x14ac:dyDescent="0.3">
      <c r="B363" s="58"/>
      <c r="C363" s="58"/>
      <c r="AD363" s="58"/>
      <c r="AF363" s="58"/>
      <c r="AG363" s="58"/>
      <c r="AH363" s="58"/>
    </row>
    <row r="364" spans="2:34" x14ac:dyDescent="0.3">
      <c r="B364" s="58"/>
      <c r="C364" s="58"/>
      <c r="AD364" s="58"/>
      <c r="AF364" s="58"/>
      <c r="AG364" s="58"/>
      <c r="AH364" s="58"/>
    </row>
    <row r="365" spans="2:34" x14ac:dyDescent="0.3">
      <c r="B365" s="58"/>
      <c r="C365" s="58"/>
      <c r="AD365" s="58"/>
      <c r="AF365" s="58"/>
      <c r="AG365" s="58"/>
      <c r="AH365" s="58"/>
    </row>
    <row r="366" spans="2:34" x14ac:dyDescent="0.3">
      <c r="B366" s="58"/>
      <c r="C366" s="58"/>
      <c r="AD366" s="58"/>
      <c r="AF366" s="58"/>
      <c r="AG366" s="58"/>
      <c r="AH366" s="58"/>
    </row>
    <row r="367" spans="2:34" x14ac:dyDescent="0.3">
      <c r="B367" s="58"/>
      <c r="C367" s="58"/>
      <c r="AD367" s="58"/>
      <c r="AF367" s="58"/>
      <c r="AG367" s="58"/>
      <c r="AH367" s="58"/>
    </row>
    <row r="368" spans="2:34" x14ac:dyDescent="0.3">
      <c r="B368" s="58"/>
      <c r="C368" s="58"/>
      <c r="AD368" s="58"/>
      <c r="AF368" s="58"/>
      <c r="AG368" s="58"/>
      <c r="AH368" s="58"/>
    </row>
    <row r="369" spans="2:34" x14ac:dyDescent="0.3">
      <c r="B369" s="58"/>
      <c r="C369" s="58"/>
      <c r="AD369" s="58"/>
      <c r="AF369" s="58"/>
      <c r="AG369" s="58"/>
      <c r="AH369" s="58"/>
    </row>
    <row r="370" spans="2:34" x14ac:dyDescent="0.3">
      <c r="B370" s="58"/>
      <c r="C370" s="58"/>
      <c r="AD370" s="58"/>
      <c r="AF370" s="58"/>
      <c r="AG370" s="58"/>
      <c r="AH370" s="58"/>
    </row>
    <row r="371" spans="2:34" x14ac:dyDescent="0.3">
      <c r="B371" s="58"/>
      <c r="C371" s="58"/>
      <c r="AD371" s="58"/>
      <c r="AF371" s="58"/>
      <c r="AG371" s="58"/>
      <c r="AH371" s="58"/>
    </row>
    <row r="372" spans="2:34" x14ac:dyDescent="0.3">
      <c r="B372" s="58"/>
      <c r="C372" s="58"/>
      <c r="AD372" s="58"/>
      <c r="AF372" s="58"/>
      <c r="AG372" s="58"/>
      <c r="AH372" s="58"/>
    </row>
    <row r="373" spans="2:34" x14ac:dyDescent="0.3">
      <c r="B373" s="58"/>
      <c r="C373" s="58"/>
      <c r="AD373" s="58"/>
      <c r="AF373" s="58"/>
      <c r="AG373" s="58"/>
      <c r="AH373" s="58"/>
    </row>
    <row r="374" spans="2:34" x14ac:dyDescent="0.3">
      <c r="B374" s="58"/>
      <c r="C374" s="58"/>
      <c r="AD374" s="58"/>
      <c r="AF374" s="58"/>
      <c r="AG374" s="58"/>
      <c r="AH374" s="58"/>
    </row>
    <row r="375" spans="2:34" x14ac:dyDescent="0.3">
      <c r="B375" s="58"/>
      <c r="C375" s="58"/>
      <c r="AD375" s="58"/>
      <c r="AF375" s="58"/>
      <c r="AG375" s="58"/>
      <c r="AH375" s="58"/>
    </row>
    <row r="376" spans="2:34" x14ac:dyDescent="0.3">
      <c r="B376" s="58"/>
      <c r="C376" s="58"/>
      <c r="AD376" s="58"/>
      <c r="AF376" s="58"/>
      <c r="AG376" s="58"/>
      <c r="AH376" s="58"/>
    </row>
    <row r="377" spans="2:34" x14ac:dyDescent="0.3">
      <c r="B377" s="58"/>
      <c r="C377" s="58"/>
      <c r="AD377" s="58"/>
      <c r="AF377" s="58"/>
      <c r="AG377" s="58"/>
      <c r="AH377" s="58"/>
    </row>
    <row r="378" spans="2:34" x14ac:dyDescent="0.3">
      <c r="B378" s="58"/>
      <c r="C378" s="58"/>
      <c r="AD378" s="58"/>
      <c r="AF378" s="58"/>
      <c r="AG378" s="58"/>
      <c r="AH378" s="58"/>
    </row>
    <row r="379" spans="2:34" x14ac:dyDescent="0.3">
      <c r="B379" s="58"/>
      <c r="C379" s="58"/>
      <c r="AD379" s="58"/>
      <c r="AF379" s="58"/>
      <c r="AG379" s="58"/>
      <c r="AH379" s="58"/>
    </row>
    <row r="380" spans="2:34" x14ac:dyDescent="0.3">
      <c r="B380" s="58"/>
      <c r="C380" s="58"/>
      <c r="AD380" s="58"/>
      <c r="AF380" s="58"/>
      <c r="AG380" s="58"/>
      <c r="AH380" s="58"/>
    </row>
    <row r="381" spans="2:34" x14ac:dyDescent="0.3">
      <c r="B381" s="58"/>
      <c r="C381" s="58"/>
      <c r="AD381" s="58"/>
      <c r="AF381" s="58"/>
      <c r="AG381" s="58"/>
      <c r="AH381" s="58"/>
    </row>
    <row r="382" spans="2:34" x14ac:dyDescent="0.3">
      <c r="B382" s="58"/>
      <c r="C382" s="58"/>
      <c r="AD382" s="58"/>
      <c r="AF382" s="58"/>
      <c r="AG382" s="58"/>
      <c r="AH382" s="58"/>
    </row>
    <row r="383" spans="2:34" x14ac:dyDescent="0.3">
      <c r="B383" s="58"/>
      <c r="C383" s="58"/>
      <c r="AD383" s="58"/>
      <c r="AF383" s="58"/>
      <c r="AG383" s="58"/>
      <c r="AH383" s="58"/>
    </row>
    <row r="384" spans="2:34" x14ac:dyDescent="0.3">
      <c r="B384" s="58"/>
      <c r="C384" s="58"/>
      <c r="AD384" s="58"/>
      <c r="AF384" s="58"/>
      <c r="AG384" s="58"/>
      <c r="AH384" s="58"/>
    </row>
    <row r="385" spans="2:34" x14ac:dyDescent="0.3">
      <c r="B385" s="58"/>
      <c r="C385" s="58"/>
      <c r="AD385" s="58"/>
      <c r="AF385" s="58"/>
      <c r="AG385" s="58"/>
      <c r="AH385" s="58"/>
    </row>
    <row r="386" spans="2:34" x14ac:dyDescent="0.3">
      <c r="B386" s="58"/>
      <c r="C386" s="58"/>
      <c r="AD386" s="58"/>
      <c r="AF386" s="58"/>
      <c r="AG386" s="58"/>
      <c r="AH386" s="58"/>
    </row>
    <row r="387" spans="2:34" x14ac:dyDescent="0.3">
      <c r="B387" s="58"/>
      <c r="C387" s="58"/>
      <c r="AD387" s="58"/>
      <c r="AF387" s="58"/>
      <c r="AG387" s="58"/>
      <c r="AH387" s="58"/>
    </row>
    <row r="388" spans="2:34" x14ac:dyDescent="0.3">
      <c r="B388" s="58"/>
      <c r="C388" s="58"/>
      <c r="AD388" s="58"/>
      <c r="AF388" s="58"/>
      <c r="AG388" s="58"/>
      <c r="AH388" s="58"/>
    </row>
    <row r="389" spans="2:34" x14ac:dyDescent="0.3">
      <c r="B389" s="58"/>
      <c r="C389" s="58"/>
      <c r="AD389" s="58"/>
      <c r="AF389" s="58"/>
      <c r="AG389" s="58"/>
      <c r="AH389" s="58"/>
    </row>
    <row r="390" spans="2:34" x14ac:dyDescent="0.3">
      <c r="B390" s="58"/>
      <c r="C390" s="58"/>
      <c r="AD390" s="58"/>
      <c r="AF390" s="58"/>
      <c r="AG390" s="58"/>
      <c r="AH390" s="58"/>
    </row>
    <row r="391" spans="2:34" x14ac:dyDescent="0.3">
      <c r="B391" s="58"/>
      <c r="C391" s="58"/>
      <c r="AD391" s="58"/>
      <c r="AF391" s="58"/>
      <c r="AG391" s="58"/>
      <c r="AH391" s="58"/>
    </row>
    <row r="392" spans="2:34" x14ac:dyDescent="0.3">
      <c r="B392" s="58"/>
      <c r="C392" s="58"/>
      <c r="AD392" s="58"/>
      <c r="AF392" s="58"/>
      <c r="AG392" s="58"/>
      <c r="AH392" s="58"/>
    </row>
    <row r="393" spans="2:34" x14ac:dyDescent="0.3">
      <c r="B393" s="58"/>
      <c r="C393" s="58"/>
      <c r="AD393" s="58"/>
      <c r="AF393" s="58"/>
      <c r="AG393" s="58"/>
      <c r="AH393" s="58"/>
    </row>
    <row r="394" spans="2:34" x14ac:dyDescent="0.3">
      <c r="B394" s="58"/>
      <c r="C394" s="58"/>
      <c r="AD394" s="58"/>
      <c r="AF394" s="58"/>
      <c r="AG394" s="58"/>
      <c r="AH394" s="58"/>
    </row>
    <row r="395" spans="2:34" x14ac:dyDescent="0.3">
      <c r="B395" s="58"/>
      <c r="C395" s="58"/>
      <c r="AD395" s="58"/>
      <c r="AF395" s="58"/>
      <c r="AG395" s="58"/>
      <c r="AH395" s="58"/>
    </row>
    <row r="396" spans="2:34" x14ac:dyDescent="0.3">
      <c r="B396" s="58"/>
      <c r="C396" s="58"/>
      <c r="AD396" s="58"/>
      <c r="AF396" s="58"/>
      <c r="AG396" s="58"/>
      <c r="AH396" s="58"/>
    </row>
    <row r="397" spans="2:34" x14ac:dyDescent="0.3">
      <c r="B397" s="58"/>
      <c r="C397" s="58"/>
      <c r="AD397" s="58"/>
      <c r="AF397" s="58"/>
      <c r="AG397" s="58"/>
      <c r="AH397" s="58"/>
    </row>
    <row r="398" spans="2:34" x14ac:dyDescent="0.3">
      <c r="B398" s="58"/>
      <c r="C398" s="58"/>
      <c r="AD398" s="58"/>
      <c r="AF398" s="58"/>
      <c r="AG398" s="58"/>
      <c r="AH398" s="58"/>
    </row>
    <row r="399" spans="2:34" x14ac:dyDescent="0.3">
      <c r="B399" s="58"/>
      <c r="C399" s="58"/>
      <c r="AD399" s="58"/>
      <c r="AF399" s="58"/>
      <c r="AG399" s="58"/>
      <c r="AH399" s="58"/>
    </row>
    <row r="400" spans="2:34" x14ac:dyDescent="0.3">
      <c r="B400" s="58"/>
      <c r="C400" s="58"/>
      <c r="AD400" s="58"/>
      <c r="AF400" s="58"/>
      <c r="AG400" s="58"/>
      <c r="AH400" s="58"/>
    </row>
    <row r="401" spans="2:34" x14ac:dyDescent="0.3">
      <c r="B401" s="58"/>
      <c r="C401" s="58"/>
      <c r="AD401" s="58"/>
      <c r="AF401" s="58"/>
      <c r="AG401" s="58"/>
      <c r="AH401" s="58"/>
    </row>
    <row r="402" spans="2:34" x14ac:dyDescent="0.3">
      <c r="B402" s="58"/>
      <c r="C402" s="58"/>
      <c r="AD402" s="58"/>
      <c r="AF402" s="58"/>
      <c r="AG402" s="58"/>
      <c r="AH402" s="58"/>
    </row>
    <row r="403" spans="2:34" x14ac:dyDescent="0.3">
      <c r="B403" s="58"/>
      <c r="C403" s="58"/>
      <c r="AD403" s="58"/>
      <c r="AF403" s="58"/>
      <c r="AG403" s="58"/>
      <c r="AH403" s="58"/>
    </row>
    <row r="404" spans="2:34" x14ac:dyDescent="0.3">
      <c r="B404" s="58"/>
      <c r="C404" s="58"/>
      <c r="AD404" s="58"/>
      <c r="AF404" s="58"/>
      <c r="AG404" s="58"/>
      <c r="AH404" s="58"/>
    </row>
    <row r="405" spans="2:34" x14ac:dyDescent="0.3">
      <c r="B405" s="58"/>
      <c r="C405" s="58"/>
      <c r="AD405" s="58"/>
      <c r="AF405" s="58"/>
      <c r="AG405" s="58"/>
      <c r="AH405" s="58"/>
    </row>
    <row r="406" spans="2:34" x14ac:dyDescent="0.3">
      <c r="B406" s="58"/>
      <c r="C406" s="58"/>
      <c r="AD406" s="58"/>
      <c r="AF406" s="58"/>
      <c r="AG406" s="58"/>
      <c r="AH406" s="58"/>
    </row>
    <row r="407" spans="2:34" x14ac:dyDescent="0.3">
      <c r="B407" s="58"/>
      <c r="C407" s="58"/>
      <c r="AD407" s="58"/>
      <c r="AF407" s="58"/>
      <c r="AG407" s="58"/>
      <c r="AH407" s="58"/>
    </row>
    <row r="408" spans="2:34" x14ac:dyDescent="0.3">
      <c r="B408" s="58"/>
      <c r="C408" s="58"/>
      <c r="AD408" s="58"/>
      <c r="AF408" s="58"/>
      <c r="AG408" s="58"/>
      <c r="AH408" s="58"/>
    </row>
    <row r="409" spans="2:34" x14ac:dyDescent="0.3">
      <c r="B409" s="58"/>
      <c r="C409" s="58"/>
      <c r="AD409" s="58"/>
      <c r="AF409" s="58"/>
      <c r="AG409" s="58"/>
      <c r="AH409" s="58"/>
    </row>
    <row r="410" spans="2:34" x14ac:dyDescent="0.3">
      <c r="B410" s="58"/>
      <c r="C410" s="58"/>
      <c r="AD410" s="58"/>
      <c r="AF410" s="58"/>
      <c r="AG410" s="58"/>
      <c r="AH410" s="58"/>
    </row>
    <row r="411" spans="2:34" x14ac:dyDescent="0.3">
      <c r="B411" s="58"/>
      <c r="C411" s="58"/>
      <c r="AD411" s="58"/>
      <c r="AF411" s="58"/>
      <c r="AG411" s="58"/>
      <c r="AH411" s="58"/>
    </row>
    <row r="412" spans="2:34" x14ac:dyDescent="0.3">
      <c r="B412" s="58"/>
      <c r="C412" s="58"/>
      <c r="AD412" s="58"/>
      <c r="AF412" s="58"/>
      <c r="AG412" s="58"/>
      <c r="AH412" s="58"/>
    </row>
    <row r="413" spans="2:34" x14ac:dyDescent="0.3">
      <c r="B413" s="58"/>
      <c r="C413" s="58"/>
      <c r="AD413" s="58"/>
      <c r="AF413" s="58"/>
      <c r="AG413" s="58"/>
      <c r="AH413" s="58"/>
    </row>
    <row r="414" spans="2:34" x14ac:dyDescent="0.3">
      <c r="B414" s="58"/>
      <c r="C414" s="58"/>
      <c r="AD414" s="58"/>
      <c r="AF414" s="58"/>
      <c r="AG414" s="58"/>
      <c r="AH414" s="58"/>
    </row>
    <row r="415" spans="2:34" x14ac:dyDescent="0.3">
      <c r="B415" s="58"/>
      <c r="C415" s="58"/>
      <c r="AD415" s="58"/>
      <c r="AF415" s="58"/>
      <c r="AG415" s="58"/>
      <c r="AH415" s="58"/>
    </row>
    <row r="416" spans="2:34" x14ac:dyDescent="0.3">
      <c r="B416" s="58"/>
      <c r="C416" s="58"/>
      <c r="AD416" s="58"/>
      <c r="AF416" s="58"/>
      <c r="AG416" s="58"/>
      <c r="AH416" s="58"/>
    </row>
    <row r="417" spans="2:34" x14ac:dyDescent="0.3">
      <c r="B417" s="58"/>
      <c r="C417" s="58"/>
      <c r="AD417" s="58"/>
      <c r="AF417" s="58"/>
      <c r="AG417" s="58"/>
      <c r="AH417" s="58"/>
    </row>
    <row r="418" spans="2:34" x14ac:dyDescent="0.3">
      <c r="B418" s="58"/>
      <c r="C418" s="58"/>
      <c r="AD418" s="58"/>
      <c r="AF418" s="58"/>
      <c r="AG418" s="58"/>
      <c r="AH418" s="58"/>
    </row>
    <row r="419" spans="2:34" x14ac:dyDescent="0.3">
      <c r="B419" s="58"/>
      <c r="C419" s="58"/>
      <c r="AD419" s="58"/>
      <c r="AF419" s="58"/>
      <c r="AG419" s="58"/>
      <c r="AH419" s="58"/>
    </row>
    <row r="420" spans="2:34" x14ac:dyDescent="0.3">
      <c r="B420" s="58"/>
      <c r="C420" s="58"/>
      <c r="AD420" s="58"/>
      <c r="AF420" s="58"/>
      <c r="AG420" s="58"/>
      <c r="AH420" s="58"/>
    </row>
    <row r="421" spans="2:34" x14ac:dyDescent="0.3">
      <c r="B421" s="58"/>
      <c r="C421" s="58"/>
      <c r="AD421" s="58"/>
      <c r="AF421" s="58"/>
      <c r="AG421" s="58"/>
      <c r="AH421" s="58"/>
    </row>
    <row r="422" spans="2:34" x14ac:dyDescent="0.3">
      <c r="B422" s="58"/>
      <c r="C422" s="58"/>
      <c r="AD422" s="58"/>
      <c r="AF422" s="58"/>
      <c r="AG422" s="58"/>
      <c r="AH422" s="58"/>
    </row>
    <row r="423" spans="2:34" x14ac:dyDescent="0.3">
      <c r="B423" s="58"/>
      <c r="C423" s="58"/>
      <c r="AD423" s="58"/>
      <c r="AF423" s="58"/>
      <c r="AG423" s="58"/>
      <c r="AH423" s="58"/>
    </row>
    <row r="424" spans="2:34" x14ac:dyDescent="0.3">
      <c r="B424" s="58"/>
      <c r="C424" s="58"/>
      <c r="AD424" s="58"/>
      <c r="AF424" s="58"/>
      <c r="AG424" s="58"/>
      <c r="AH424" s="58"/>
    </row>
    <row r="425" spans="2:34" x14ac:dyDescent="0.3">
      <c r="B425" s="58"/>
      <c r="C425" s="58"/>
      <c r="AD425" s="58"/>
      <c r="AF425" s="58"/>
      <c r="AG425" s="58"/>
      <c r="AH425" s="58"/>
    </row>
    <row r="426" spans="2:34" x14ac:dyDescent="0.3">
      <c r="B426" s="58"/>
      <c r="C426" s="58"/>
      <c r="AD426" s="58"/>
      <c r="AF426" s="58"/>
      <c r="AG426" s="58"/>
      <c r="AH426" s="58"/>
    </row>
    <row r="427" spans="2:34" x14ac:dyDescent="0.3">
      <c r="B427" s="58"/>
      <c r="C427" s="58"/>
      <c r="AD427" s="58"/>
      <c r="AF427" s="58"/>
      <c r="AG427" s="58"/>
      <c r="AH427" s="58"/>
    </row>
    <row r="428" spans="2:34" x14ac:dyDescent="0.3">
      <c r="B428" s="58"/>
      <c r="C428" s="58"/>
      <c r="AD428" s="58"/>
      <c r="AF428" s="58"/>
      <c r="AG428" s="58"/>
      <c r="AH428" s="58"/>
    </row>
    <row r="429" spans="2:34" x14ac:dyDescent="0.3">
      <c r="B429" s="58"/>
      <c r="C429" s="58"/>
      <c r="AD429" s="58"/>
      <c r="AF429" s="58"/>
      <c r="AG429" s="58"/>
      <c r="AH429" s="58"/>
    </row>
    <row r="430" spans="2:34" x14ac:dyDescent="0.3">
      <c r="B430" s="58"/>
      <c r="C430" s="58"/>
      <c r="AD430" s="58"/>
      <c r="AF430" s="58"/>
      <c r="AG430" s="58"/>
      <c r="AH430" s="58"/>
    </row>
    <row r="431" spans="2:34" x14ac:dyDescent="0.3">
      <c r="B431" s="58"/>
      <c r="C431" s="58"/>
      <c r="AD431" s="58"/>
      <c r="AF431" s="58"/>
      <c r="AG431" s="58"/>
      <c r="AH431" s="58"/>
    </row>
    <row r="432" spans="2:34" x14ac:dyDescent="0.3">
      <c r="B432" s="58"/>
      <c r="C432" s="58"/>
      <c r="AD432" s="58"/>
      <c r="AF432" s="58"/>
      <c r="AG432" s="58"/>
      <c r="AH432" s="58"/>
    </row>
    <row r="433" spans="2:34" x14ac:dyDescent="0.3">
      <c r="B433" s="58"/>
      <c r="C433" s="58"/>
      <c r="AD433" s="58"/>
      <c r="AF433" s="58"/>
      <c r="AG433" s="58"/>
      <c r="AH433" s="58"/>
    </row>
    <row r="434" spans="2:34" x14ac:dyDescent="0.3">
      <c r="B434" s="58"/>
      <c r="C434" s="58"/>
      <c r="AD434" s="58"/>
      <c r="AF434" s="58"/>
      <c r="AG434" s="58"/>
      <c r="AH434" s="58"/>
    </row>
    <row r="435" spans="2:34" x14ac:dyDescent="0.3">
      <c r="B435" s="58"/>
      <c r="C435" s="58"/>
      <c r="AD435" s="58"/>
      <c r="AF435" s="58"/>
      <c r="AG435" s="58"/>
      <c r="AH435" s="58"/>
    </row>
    <row r="436" spans="2:34" x14ac:dyDescent="0.3">
      <c r="B436" s="58"/>
      <c r="C436" s="58"/>
      <c r="AD436" s="58"/>
      <c r="AF436" s="58"/>
      <c r="AG436" s="58"/>
      <c r="AH436" s="58"/>
    </row>
    <row r="437" spans="2:34" x14ac:dyDescent="0.3">
      <c r="B437" s="58"/>
      <c r="C437" s="58"/>
      <c r="AD437" s="58"/>
      <c r="AF437" s="58"/>
      <c r="AG437" s="58"/>
      <c r="AH437" s="58"/>
    </row>
    <row r="438" spans="2:34" x14ac:dyDescent="0.3">
      <c r="B438" s="58"/>
      <c r="C438" s="58"/>
      <c r="AD438" s="58"/>
      <c r="AF438" s="58"/>
      <c r="AG438" s="58"/>
      <c r="AH438" s="58"/>
    </row>
    <row r="439" spans="2:34" x14ac:dyDescent="0.3">
      <c r="B439" s="58"/>
      <c r="C439" s="58"/>
      <c r="AD439" s="58"/>
      <c r="AF439" s="58"/>
      <c r="AG439" s="58"/>
      <c r="AH439" s="58"/>
    </row>
    <row r="440" spans="2:34" x14ac:dyDescent="0.3">
      <c r="B440" s="58"/>
      <c r="C440" s="58"/>
      <c r="AD440" s="58"/>
      <c r="AF440" s="58"/>
      <c r="AG440" s="58"/>
      <c r="AH440" s="58"/>
    </row>
    <row r="441" spans="2:34" x14ac:dyDescent="0.3">
      <c r="B441" s="58"/>
      <c r="C441" s="58"/>
      <c r="AD441" s="58"/>
      <c r="AF441" s="58"/>
      <c r="AG441" s="58"/>
      <c r="AH441" s="58"/>
    </row>
    <row r="442" spans="2:34" x14ac:dyDescent="0.3">
      <c r="B442" s="58"/>
      <c r="C442" s="58"/>
      <c r="AD442" s="58"/>
      <c r="AF442" s="58"/>
      <c r="AG442" s="58"/>
      <c r="AH442" s="58"/>
    </row>
    <row r="443" spans="2:34" x14ac:dyDescent="0.3">
      <c r="B443" s="58"/>
      <c r="C443" s="58"/>
      <c r="AD443" s="58"/>
      <c r="AF443" s="58"/>
      <c r="AG443" s="58"/>
      <c r="AH443" s="58"/>
    </row>
    <row r="444" spans="2:34" x14ac:dyDescent="0.3">
      <c r="B444" s="58"/>
      <c r="C444" s="58"/>
      <c r="AD444" s="58"/>
      <c r="AF444" s="58"/>
      <c r="AG444" s="58"/>
      <c r="AH444" s="58"/>
    </row>
    <row r="445" spans="2:34" x14ac:dyDescent="0.3">
      <c r="B445" s="58"/>
      <c r="C445" s="58"/>
      <c r="AD445" s="58"/>
      <c r="AF445" s="58"/>
      <c r="AG445" s="58"/>
      <c r="AH445" s="58"/>
    </row>
    <row r="446" spans="2:34" x14ac:dyDescent="0.3">
      <c r="B446" s="58"/>
      <c r="C446" s="58"/>
      <c r="AD446" s="58"/>
      <c r="AF446" s="58"/>
      <c r="AG446" s="58"/>
      <c r="AH446" s="58"/>
    </row>
    <row r="447" spans="2:34" x14ac:dyDescent="0.3">
      <c r="B447" s="58"/>
      <c r="C447" s="58"/>
      <c r="AD447" s="58"/>
      <c r="AF447" s="58"/>
      <c r="AG447" s="58"/>
      <c r="AH447" s="58"/>
    </row>
    <row r="448" spans="2:34" x14ac:dyDescent="0.3">
      <c r="B448" s="58"/>
      <c r="C448" s="58"/>
      <c r="AD448" s="58"/>
      <c r="AF448" s="58"/>
      <c r="AG448" s="58"/>
      <c r="AH448" s="58"/>
    </row>
    <row r="449" spans="2:34" x14ac:dyDescent="0.3">
      <c r="B449" s="58"/>
      <c r="C449" s="58"/>
      <c r="AD449" s="58"/>
      <c r="AF449" s="58"/>
      <c r="AG449" s="58"/>
      <c r="AH449" s="58"/>
    </row>
    <row r="450" spans="2:34" x14ac:dyDescent="0.3">
      <c r="B450" s="58"/>
      <c r="C450" s="58"/>
      <c r="AD450" s="58"/>
      <c r="AF450" s="58"/>
      <c r="AG450" s="58"/>
      <c r="AH450" s="58"/>
    </row>
    <row r="451" spans="2:34" x14ac:dyDescent="0.3">
      <c r="B451" s="58"/>
      <c r="C451" s="58"/>
      <c r="AD451" s="58"/>
      <c r="AF451" s="58"/>
      <c r="AG451" s="58"/>
      <c r="AH451" s="58"/>
    </row>
    <row r="452" spans="2:34" x14ac:dyDescent="0.3">
      <c r="B452" s="58"/>
      <c r="C452" s="58"/>
      <c r="AD452" s="58"/>
      <c r="AF452" s="58"/>
      <c r="AG452" s="58"/>
      <c r="AH452" s="58"/>
    </row>
    <row r="453" spans="2:34" x14ac:dyDescent="0.3">
      <c r="B453" s="58"/>
      <c r="C453" s="58"/>
      <c r="AD453" s="58"/>
      <c r="AF453" s="58"/>
      <c r="AG453" s="58"/>
      <c r="AH453" s="58"/>
    </row>
    <row r="454" spans="2:34" x14ac:dyDescent="0.3">
      <c r="B454" s="58"/>
      <c r="C454" s="58"/>
      <c r="AD454" s="58"/>
      <c r="AF454" s="58"/>
      <c r="AG454" s="58"/>
      <c r="AH454" s="58"/>
    </row>
    <row r="455" spans="2:34" x14ac:dyDescent="0.3">
      <c r="B455" s="58"/>
      <c r="C455" s="58"/>
      <c r="AD455" s="58"/>
      <c r="AF455" s="58"/>
      <c r="AG455" s="58"/>
      <c r="AH455" s="58"/>
    </row>
    <row r="456" spans="2:34" x14ac:dyDescent="0.3">
      <c r="B456" s="58"/>
      <c r="C456" s="58"/>
      <c r="AD456" s="58"/>
      <c r="AF456" s="58"/>
      <c r="AG456" s="58"/>
      <c r="AH456" s="58"/>
    </row>
    <row r="457" spans="2:34" x14ac:dyDescent="0.3">
      <c r="B457" s="58"/>
      <c r="C457" s="58"/>
      <c r="AD457" s="58"/>
      <c r="AF457" s="58"/>
      <c r="AG457" s="58"/>
      <c r="AH457" s="58"/>
    </row>
    <row r="458" spans="2:34" x14ac:dyDescent="0.3">
      <c r="B458" s="58"/>
      <c r="C458" s="58"/>
      <c r="AD458" s="58"/>
      <c r="AF458" s="58"/>
      <c r="AG458" s="58"/>
      <c r="AH458" s="58"/>
    </row>
    <row r="459" spans="2:34" x14ac:dyDescent="0.3">
      <c r="B459" s="58"/>
      <c r="C459" s="58"/>
      <c r="AD459" s="58"/>
      <c r="AF459" s="58"/>
      <c r="AG459" s="58"/>
      <c r="AH459" s="58"/>
    </row>
    <row r="460" spans="2:34" x14ac:dyDescent="0.3">
      <c r="B460" s="58"/>
      <c r="C460" s="58"/>
      <c r="AD460" s="58"/>
      <c r="AF460" s="58"/>
      <c r="AG460" s="58"/>
      <c r="AH460" s="58"/>
    </row>
    <row r="461" spans="2:34" x14ac:dyDescent="0.3">
      <c r="B461" s="58"/>
      <c r="C461" s="58"/>
      <c r="AD461" s="58"/>
      <c r="AF461" s="58"/>
      <c r="AG461" s="58"/>
      <c r="AH461" s="58"/>
    </row>
    <row r="462" spans="2:34" x14ac:dyDescent="0.3">
      <c r="B462" s="58"/>
      <c r="C462" s="58"/>
      <c r="AD462" s="58"/>
      <c r="AF462" s="58"/>
      <c r="AG462" s="58"/>
      <c r="AH462" s="58"/>
    </row>
    <row r="463" spans="2:34" x14ac:dyDescent="0.3">
      <c r="B463" s="58"/>
      <c r="C463" s="58"/>
      <c r="AD463" s="58"/>
      <c r="AF463" s="58"/>
      <c r="AG463" s="58"/>
      <c r="AH463" s="58"/>
    </row>
    <row r="464" spans="2:34" x14ac:dyDescent="0.3">
      <c r="B464" s="58"/>
      <c r="C464" s="58"/>
      <c r="AD464" s="58"/>
      <c r="AF464" s="58"/>
      <c r="AG464" s="58"/>
      <c r="AH464" s="58"/>
    </row>
    <row r="465" spans="2:34" x14ac:dyDescent="0.3">
      <c r="B465" s="58"/>
      <c r="C465" s="58"/>
      <c r="AD465" s="58"/>
      <c r="AF465" s="58"/>
      <c r="AG465" s="58"/>
      <c r="AH465" s="58"/>
    </row>
    <row r="466" spans="2:34" x14ac:dyDescent="0.3">
      <c r="B466" s="58"/>
      <c r="C466" s="58"/>
      <c r="AD466" s="58"/>
      <c r="AF466" s="58"/>
      <c r="AG466" s="58"/>
      <c r="AH466" s="58"/>
    </row>
    <row r="467" spans="2:34" x14ac:dyDescent="0.3">
      <c r="B467" s="58"/>
      <c r="C467" s="58"/>
      <c r="AD467" s="58"/>
      <c r="AF467" s="58"/>
      <c r="AG467" s="58"/>
      <c r="AH467" s="58"/>
    </row>
    <row r="468" spans="2:34" x14ac:dyDescent="0.3">
      <c r="B468" s="58"/>
      <c r="C468" s="58"/>
      <c r="AD468" s="58"/>
      <c r="AF468" s="58"/>
      <c r="AG468" s="58"/>
      <c r="AH468" s="58"/>
    </row>
    <row r="469" spans="2:34" x14ac:dyDescent="0.3">
      <c r="B469" s="58"/>
      <c r="C469" s="58"/>
      <c r="AD469" s="58"/>
      <c r="AF469" s="58"/>
      <c r="AG469" s="58"/>
      <c r="AH469" s="58"/>
    </row>
    <row r="470" spans="2:34" x14ac:dyDescent="0.3">
      <c r="B470" s="58"/>
      <c r="C470" s="58"/>
      <c r="AD470" s="58"/>
      <c r="AF470" s="58"/>
      <c r="AG470" s="58"/>
      <c r="AH470" s="58"/>
    </row>
    <row r="471" spans="2:34" x14ac:dyDescent="0.3">
      <c r="B471" s="58"/>
      <c r="C471" s="58"/>
      <c r="AD471" s="58"/>
      <c r="AF471" s="58"/>
      <c r="AG471" s="58"/>
      <c r="AH471" s="58"/>
    </row>
    <row r="472" spans="2:34" x14ac:dyDescent="0.3">
      <c r="B472" s="58"/>
      <c r="C472" s="58"/>
      <c r="AD472" s="58"/>
      <c r="AF472" s="58"/>
      <c r="AG472" s="58"/>
      <c r="AH472" s="58"/>
    </row>
    <row r="473" spans="2:34" x14ac:dyDescent="0.3">
      <c r="B473" s="58"/>
      <c r="C473" s="58"/>
      <c r="AD473" s="58"/>
      <c r="AF473" s="58"/>
      <c r="AG473" s="58"/>
      <c r="AH473" s="58"/>
    </row>
    <row r="474" spans="2:34" x14ac:dyDescent="0.3">
      <c r="B474" s="58"/>
      <c r="C474" s="58"/>
      <c r="AD474" s="58"/>
      <c r="AF474" s="58"/>
      <c r="AG474" s="58"/>
      <c r="AH474" s="58"/>
    </row>
    <row r="475" spans="2:34" x14ac:dyDescent="0.3">
      <c r="B475" s="58"/>
      <c r="C475" s="58"/>
      <c r="AD475" s="58"/>
      <c r="AF475" s="58"/>
      <c r="AG475" s="58"/>
      <c r="AH475" s="58"/>
    </row>
    <row r="476" spans="2:34" x14ac:dyDescent="0.3">
      <c r="B476" s="58"/>
      <c r="C476" s="58"/>
      <c r="AD476" s="58"/>
      <c r="AF476" s="58"/>
      <c r="AG476" s="58"/>
      <c r="AH476" s="58"/>
    </row>
    <row r="477" spans="2:34" x14ac:dyDescent="0.3">
      <c r="B477" s="58"/>
      <c r="C477" s="58"/>
      <c r="AD477" s="58"/>
      <c r="AF477" s="58"/>
      <c r="AG477" s="58"/>
      <c r="AH477" s="58"/>
    </row>
    <row r="478" spans="2:34" x14ac:dyDescent="0.3">
      <c r="B478" s="58"/>
      <c r="C478" s="58"/>
      <c r="AD478" s="58"/>
      <c r="AF478" s="58"/>
      <c r="AG478" s="58"/>
      <c r="AH478" s="58"/>
    </row>
    <row r="479" spans="2:34" x14ac:dyDescent="0.3">
      <c r="B479" s="58"/>
      <c r="C479" s="58"/>
      <c r="AD479" s="58"/>
      <c r="AF479" s="58"/>
      <c r="AG479" s="58"/>
      <c r="AH479" s="58"/>
    </row>
    <row r="480" spans="2:34" x14ac:dyDescent="0.3">
      <c r="B480" s="58"/>
      <c r="C480" s="58"/>
      <c r="AD480" s="58"/>
      <c r="AF480" s="58"/>
      <c r="AG480" s="58"/>
      <c r="AH480" s="58"/>
    </row>
    <row r="481" spans="2:34" x14ac:dyDescent="0.3">
      <c r="B481" s="58"/>
      <c r="C481" s="58"/>
      <c r="AD481" s="58"/>
      <c r="AF481" s="58"/>
      <c r="AG481" s="58"/>
      <c r="AH481" s="58"/>
    </row>
    <row r="482" spans="2:34" x14ac:dyDescent="0.3">
      <c r="B482" s="58"/>
      <c r="C482" s="58"/>
      <c r="AD482" s="58"/>
      <c r="AF482" s="58"/>
      <c r="AG482" s="58"/>
      <c r="AH482" s="58"/>
    </row>
    <row r="483" spans="2:34" x14ac:dyDescent="0.3">
      <c r="B483" s="58"/>
      <c r="C483" s="58"/>
      <c r="AD483" s="58"/>
      <c r="AF483" s="58"/>
      <c r="AG483" s="58"/>
      <c r="AH483" s="58"/>
    </row>
    <row r="484" spans="2:34" x14ac:dyDescent="0.3">
      <c r="B484" s="58"/>
      <c r="C484" s="58"/>
      <c r="AD484" s="58"/>
      <c r="AF484" s="58"/>
      <c r="AG484" s="58"/>
      <c r="AH484" s="58"/>
    </row>
    <row r="485" spans="2:34" x14ac:dyDescent="0.3">
      <c r="B485" s="58"/>
      <c r="C485" s="58"/>
      <c r="AD485" s="58"/>
      <c r="AF485" s="58"/>
      <c r="AG485" s="58"/>
      <c r="AH485" s="58"/>
    </row>
    <row r="486" spans="2:34" x14ac:dyDescent="0.3">
      <c r="B486" s="58"/>
      <c r="C486" s="58"/>
      <c r="AD486" s="58"/>
      <c r="AF486" s="58"/>
      <c r="AG486" s="58"/>
      <c r="AH486" s="58"/>
    </row>
    <row r="487" spans="2:34" x14ac:dyDescent="0.3">
      <c r="B487" s="58"/>
      <c r="C487" s="58"/>
      <c r="AD487" s="58"/>
      <c r="AF487" s="58"/>
      <c r="AG487" s="58"/>
      <c r="AH487" s="58"/>
    </row>
    <row r="488" spans="2:34" x14ac:dyDescent="0.3">
      <c r="B488" s="58"/>
      <c r="C488" s="58"/>
      <c r="AD488" s="58"/>
      <c r="AF488" s="58"/>
      <c r="AG488" s="58"/>
      <c r="AH488" s="58"/>
    </row>
    <row r="489" spans="2:34" x14ac:dyDescent="0.3">
      <c r="B489" s="58"/>
      <c r="C489" s="58"/>
      <c r="AD489" s="58"/>
      <c r="AF489" s="58"/>
      <c r="AG489" s="58"/>
      <c r="AH489" s="58"/>
    </row>
    <row r="490" spans="2:34" x14ac:dyDescent="0.3">
      <c r="B490" s="58"/>
      <c r="C490" s="58"/>
      <c r="AD490" s="58"/>
      <c r="AF490" s="58"/>
      <c r="AG490" s="58"/>
      <c r="AH490" s="58"/>
    </row>
    <row r="491" spans="2:34" x14ac:dyDescent="0.3">
      <c r="B491" s="58"/>
      <c r="C491" s="58"/>
      <c r="AD491" s="58"/>
      <c r="AF491" s="58"/>
      <c r="AG491" s="58"/>
      <c r="AH491" s="58"/>
    </row>
    <row r="492" spans="2:34" x14ac:dyDescent="0.3">
      <c r="B492" s="58"/>
      <c r="C492" s="58"/>
      <c r="AD492" s="58"/>
      <c r="AF492" s="58"/>
      <c r="AG492" s="58"/>
      <c r="AH492" s="58"/>
    </row>
    <row r="493" spans="2:34" x14ac:dyDescent="0.3">
      <c r="B493" s="58"/>
      <c r="C493" s="58"/>
      <c r="AD493" s="58"/>
      <c r="AF493" s="58"/>
      <c r="AG493" s="58"/>
      <c r="AH493" s="58"/>
    </row>
    <row r="494" spans="2:34" x14ac:dyDescent="0.3">
      <c r="B494" s="58"/>
      <c r="C494" s="58"/>
      <c r="AD494" s="58"/>
      <c r="AF494" s="58"/>
      <c r="AG494" s="58"/>
      <c r="AH494" s="58"/>
    </row>
    <row r="495" spans="2:34" x14ac:dyDescent="0.3">
      <c r="B495" s="58"/>
      <c r="C495" s="58"/>
      <c r="AD495" s="58"/>
      <c r="AF495" s="58"/>
      <c r="AG495" s="58"/>
      <c r="AH495" s="58"/>
    </row>
    <row r="496" spans="2:34" x14ac:dyDescent="0.3">
      <c r="B496" s="58"/>
      <c r="C496" s="58"/>
      <c r="AD496" s="58"/>
      <c r="AF496" s="58"/>
      <c r="AG496" s="58"/>
      <c r="AH496" s="58"/>
    </row>
    <row r="497" spans="2:34" x14ac:dyDescent="0.3">
      <c r="B497" s="58"/>
      <c r="C497" s="58"/>
      <c r="AD497" s="58"/>
      <c r="AF497" s="58"/>
      <c r="AG497" s="58"/>
      <c r="AH497" s="58"/>
    </row>
    <row r="498" spans="2:34" x14ac:dyDescent="0.3">
      <c r="B498" s="58"/>
      <c r="C498" s="58"/>
      <c r="AD498" s="58"/>
      <c r="AF498" s="58"/>
      <c r="AG498" s="58"/>
      <c r="AH498" s="58"/>
    </row>
    <row r="499" spans="2:34" x14ac:dyDescent="0.3">
      <c r="B499" s="58"/>
      <c r="C499" s="58"/>
      <c r="AD499" s="58"/>
      <c r="AF499" s="58"/>
      <c r="AG499" s="58"/>
      <c r="AH499" s="58"/>
    </row>
    <row r="500" spans="2:34" x14ac:dyDescent="0.3">
      <c r="B500" s="58"/>
      <c r="C500" s="58"/>
      <c r="AD500" s="58"/>
      <c r="AF500" s="58"/>
      <c r="AG500" s="58"/>
      <c r="AH500" s="58"/>
    </row>
    <row r="501" spans="2:34" x14ac:dyDescent="0.3">
      <c r="B501" s="58"/>
      <c r="C501" s="58"/>
      <c r="AD501" s="58"/>
      <c r="AF501" s="58"/>
      <c r="AG501" s="58"/>
      <c r="AH501" s="58"/>
    </row>
    <row r="502" spans="2:34" x14ac:dyDescent="0.3">
      <c r="B502" s="58"/>
      <c r="C502" s="58"/>
      <c r="AD502" s="58"/>
      <c r="AF502" s="58"/>
      <c r="AG502" s="58"/>
      <c r="AH502" s="58"/>
    </row>
    <row r="503" spans="2:34" x14ac:dyDescent="0.3">
      <c r="B503" s="58"/>
      <c r="C503" s="58"/>
      <c r="AD503" s="58"/>
      <c r="AF503" s="58"/>
      <c r="AG503" s="58"/>
      <c r="AH503" s="58"/>
    </row>
    <row r="504" spans="2:34" x14ac:dyDescent="0.3">
      <c r="B504" s="58"/>
      <c r="C504" s="58"/>
      <c r="AD504" s="58"/>
      <c r="AF504" s="58"/>
      <c r="AG504" s="58"/>
      <c r="AH504" s="58"/>
    </row>
    <row r="505" spans="2:34" x14ac:dyDescent="0.3">
      <c r="B505" s="58"/>
      <c r="C505" s="58"/>
      <c r="AD505" s="58"/>
      <c r="AF505" s="58"/>
      <c r="AG505" s="58"/>
      <c r="AH505" s="58"/>
    </row>
    <row r="506" spans="2:34" x14ac:dyDescent="0.3">
      <c r="B506" s="58"/>
      <c r="C506" s="58"/>
      <c r="AD506" s="58"/>
      <c r="AF506" s="58"/>
      <c r="AG506" s="58"/>
      <c r="AH506" s="58"/>
    </row>
    <row r="507" spans="2:34" x14ac:dyDescent="0.3">
      <c r="B507" s="58"/>
      <c r="C507" s="58"/>
      <c r="AD507" s="58"/>
      <c r="AF507" s="58"/>
      <c r="AG507" s="58"/>
      <c r="AH507" s="58"/>
    </row>
    <row r="508" spans="2:34" x14ac:dyDescent="0.3">
      <c r="B508" s="58"/>
      <c r="C508" s="58"/>
      <c r="AD508" s="58"/>
      <c r="AF508" s="58"/>
      <c r="AG508" s="58"/>
      <c r="AH508" s="58"/>
    </row>
    <row r="509" spans="2:34" x14ac:dyDescent="0.3">
      <c r="B509" s="58"/>
      <c r="C509" s="58"/>
      <c r="AD509" s="58"/>
      <c r="AF509" s="58"/>
      <c r="AG509" s="58"/>
      <c r="AH509" s="58"/>
    </row>
    <row r="510" spans="2:34" x14ac:dyDescent="0.3">
      <c r="B510" s="58"/>
      <c r="C510" s="58"/>
      <c r="AD510" s="58"/>
      <c r="AF510" s="58"/>
      <c r="AG510" s="58"/>
      <c r="AH510" s="58"/>
    </row>
    <row r="511" spans="2:34" x14ac:dyDescent="0.3">
      <c r="B511" s="58"/>
      <c r="C511" s="58"/>
      <c r="AD511" s="58"/>
      <c r="AF511" s="58"/>
      <c r="AG511" s="58"/>
      <c r="AH511" s="58"/>
    </row>
    <row r="512" spans="2:34" x14ac:dyDescent="0.3">
      <c r="B512" s="58"/>
      <c r="C512" s="58"/>
      <c r="AD512" s="58"/>
      <c r="AF512" s="58"/>
      <c r="AG512" s="58"/>
      <c r="AH512" s="58"/>
    </row>
    <row r="513" spans="2:34" x14ac:dyDescent="0.3">
      <c r="B513" s="58"/>
      <c r="C513" s="58"/>
      <c r="AD513" s="58"/>
      <c r="AF513" s="58"/>
      <c r="AG513" s="58"/>
      <c r="AH513" s="58"/>
    </row>
    <row r="514" spans="2:34" x14ac:dyDescent="0.3">
      <c r="B514" s="58"/>
      <c r="C514" s="58"/>
      <c r="AD514" s="58"/>
      <c r="AF514" s="58"/>
      <c r="AG514" s="58"/>
      <c r="AH514" s="58"/>
    </row>
    <row r="515" spans="2:34" x14ac:dyDescent="0.3">
      <c r="B515" s="58"/>
      <c r="C515" s="58"/>
      <c r="AD515" s="58"/>
      <c r="AF515" s="58"/>
      <c r="AG515" s="58"/>
      <c r="AH515" s="58"/>
    </row>
    <row r="516" spans="2:34" x14ac:dyDescent="0.3">
      <c r="B516" s="58"/>
      <c r="C516" s="58"/>
      <c r="AD516" s="58"/>
      <c r="AF516" s="58"/>
      <c r="AG516" s="58"/>
      <c r="AH516" s="58"/>
    </row>
    <row r="517" spans="2:34" x14ac:dyDescent="0.3">
      <c r="B517" s="58"/>
      <c r="C517" s="58"/>
      <c r="AD517" s="58"/>
      <c r="AF517" s="58"/>
      <c r="AG517" s="58"/>
      <c r="AH517" s="58"/>
    </row>
    <row r="518" spans="2:34" x14ac:dyDescent="0.3">
      <c r="B518" s="58"/>
      <c r="C518" s="58"/>
      <c r="AD518" s="58"/>
      <c r="AF518" s="58"/>
      <c r="AG518" s="58"/>
      <c r="AH518" s="58"/>
    </row>
    <row r="519" spans="2:34" x14ac:dyDescent="0.3">
      <c r="B519" s="58"/>
      <c r="C519" s="58"/>
      <c r="AD519" s="58"/>
      <c r="AF519" s="58"/>
      <c r="AG519" s="58"/>
      <c r="AH519" s="58"/>
    </row>
    <row r="520" spans="2:34" x14ac:dyDescent="0.3">
      <c r="B520" s="58"/>
      <c r="C520" s="58"/>
      <c r="AD520" s="58"/>
      <c r="AF520" s="58"/>
      <c r="AG520" s="58"/>
      <c r="AH520" s="58"/>
    </row>
    <row r="521" spans="2:34" x14ac:dyDescent="0.3">
      <c r="B521" s="58"/>
      <c r="C521" s="58"/>
      <c r="AD521" s="58"/>
      <c r="AF521" s="58"/>
      <c r="AG521" s="58"/>
      <c r="AH521" s="58"/>
    </row>
    <row r="522" spans="2:34" x14ac:dyDescent="0.3">
      <c r="B522" s="58"/>
      <c r="C522" s="58"/>
      <c r="AD522" s="58"/>
      <c r="AF522" s="58"/>
      <c r="AG522" s="58"/>
      <c r="AH522" s="58"/>
    </row>
    <row r="523" spans="2:34" x14ac:dyDescent="0.3">
      <c r="B523" s="58"/>
      <c r="C523" s="58"/>
      <c r="AD523" s="58"/>
      <c r="AF523" s="58"/>
      <c r="AG523" s="58"/>
      <c r="AH523" s="58"/>
    </row>
    <row r="524" spans="2:34" x14ac:dyDescent="0.3">
      <c r="B524" s="58"/>
      <c r="C524" s="58"/>
      <c r="AD524" s="58"/>
      <c r="AF524" s="58"/>
      <c r="AG524" s="58"/>
      <c r="AH524" s="58"/>
    </row>
    <row r="525" spans="2:34" x14ac:dyDescent="0.3">
      <c r="B525" s="58"/>
      <c r="C525" s="58"/>
      <c r="AD525" s="58"/>
      <c r="AF525" s="58"/>
      <c r="AG525" s="58"/>
      <c r="AH525" s="58"/>
    </row>
    <row r="526" spans="2:34" x14ac:dyDescent="0.3">
      <c r="B526" s="58"/>
      <c r="C526" s="58"/>
      <c r="AD526" s="58"/>
      <c r="AF526" s="58"/>
      <c r="AG526" s="58"/>
      <c r="AH526" s="58"/>
    </row>
    <row r="527" spans="2:34" x14ac:dyDescent="0.3">
      <c r="B527" s="58"/>
      <c r="C527" s="58"/>
      <c r="AD527" s="58"/>
      <c r="AF527" s="58"/>
      <c r="AG527" s="58"/>
      <c r="AH527" s="58"/>
    </row>
    <row r="528" spans="2:34" x14ac:dyDescent="0.3">
      <c r="B528" s="58"/>
      <c r="C528" s="58"/>
      <c r="AD528" s="58"/>
      <c r="AF528" s="58"/>
      <c r="AG528" s="58"/>
      <c r="AH528" s="58"/>
    </row>
    <row r="529" spans="2:34" x14ac:dyDescent="0.3">
      <c r="B529" s="58"/>
      <c r="C529" s="58"/>
      <c r="AD529" s="58"/>
      <c r="AF529" s="58"/>
      <c r="AG529" s="58"/>
      <c r="AH529" s="58"/>
    </row>
    <row r="530" spans="2:34" x14ac:dyDescent="0.3">
      <c r="B530" s="58"/>
      <c r="C530" s="58"/>
      <c r="AD530" s="58"/>
      <c r="AF530" s="58"/>
      <c r="AG530" s="58"/>
      <c r="AH530" s="58"/>
    </row>
    <row r="531" spans="2:34" x14ac:dyDescent="0.3">
      <c r="B531" s="58"/>
      <c r="C531" s="58"/>
      <c r="AD531" s="58"/>
      <c r="AF531" s="58"/>
      <c r="AG531" s="58"/>
      <c r="AH531" s="58"/>
    </row>
    <row r="532" spans="2:34" x14ac:dyDescent="0.3">
      <c r="B532" s="58"/>
      <c r="C532" s="58"/>
      <c r="AD532" s="58"/>
      <c r="AF532" s="58"/>
      <c r="AG532" s="58"/>
      <c r="AH532" s="58"/>
    </row>
    <row r="533" spans="2:34" x14ac:dyDescent="0.3">
      <c r="B533" s="58"/>
      <c r="C533" s="58"/>
      <c r="AD533" s="58"/>
      <c r="AF533" s="58"/>
      <c r="AG533" s="58"/>
      <c r="AH533" s="58"/>
    </row>
    <row r="534" spans="2:34" x14ac:dyDescent="0.3">
      <c r="B534" s="58"/>
      <c r="C534" s="58"/>
      <c r="AD534" s="58"/>
      <c r="AF534" s="58"/>
      <c r="AG534" s="58"/>
      <c r="AH534" s="58"/>
    </row>
    <row r="535" spans="2:34" x14ac:dyDescent="0.3">
      <c r="B535" s="58"/>
      <c r="C535" s="58"/>
      <c r="AD535" s="58"/>
      <c r="AF535" s="58"/>
      <c r="AG535" s="58"/>
      <c r="AH535" s="58"/>
    </row>
    <row r="536" spans="2:34" x14ac:dyDescent="0.3">
      <c r="B536" s="58"/>
      <c r="C536" s="58"/>
      <c r="AD536" s="58"/>
      <c r="AF536" s="58"/>
      <c r="AG536" s="58"/>
      <c r="AH536" s="58"/>
    </row>
    <row r="537" spans="2:34" x14ac:dyDescent="0.3">
      <c r="B537" s="58"/>
      <c r="C537" s="58"/>
      <c r="AD537" s="58"/>
      <c r="AF537" s="58"/>
      <c r="AG537" s="58"/>
      <c r="AH537" s="58"/>
    </row>
    <row r="538" spans="2:34" x14ac:dyDescent="0.3">
      <c r="B538" s="58"/>
      <c r="C538" s="58"/>
      <c r="AD538" s="58"/>
      <c r="AF538" s="58"/>
      <c r="AG538" s="58"/>
      <c r="AH538" s="58"/>
    </row>
    <row r="539" spans="2:34" x14ac:dyDescent="0.3">
      <c r="B539" s="58"/>
      <c r="C539" s="58"/>
      <c r="AD539" s="58"/>
      <c r="AF539" s="58"/>
      <c r="AG539" s="58"/>
      <c r="AH539" s="58"/>
    </row>
    <row r="540" spans="2:34" x14ac:dyDescent="0.3">
      <c r="B540" s="58"/>
      <c r="C540" s="58"/>
      <c r="AD540" s="58"/>
      <c r="AF540" s="58"/>
      <c r="AG540" s="58"/>
      <c r="AH540" s="58"/>
    </row>
    <row r="541" spans="2:34" x14ac:dyDescent="0.3">
      <c r="B541" s="58"/>
      <c r="C541" s="58"/>
      <c r="AD541" s="58"/>
      <c r="AF541" s="58"/>
      <c r="AG541" s="58"/>
      <c r="AH541" s="58"/>
    </row>
    <row r="542" spans="2:34" x14ac:dyDescent="0.3">
      <c r="B542" s="58"/>
      <c r="C542" s="58"/>
      <c r="AD542" s="58"/>
      <c r="AF542" s="58"/>
      <c r="AG542" s="58"/>
      <c r="AH542" s="58"/>
    </row>
    <row r="543" spans="2:34" x14ac:dyDescent="0.3">
      <c r="B543" s="58"/>
      <c r="C543" s="58"/>
      <c r="AD543" s="58"/>
      <c r="AF543" s="58"/>
      <c r="AG543" s="58"/>
      <c r="AH543" s="58"/>
    </row>
    <row r="544" spans="2:34" x14ac:dyDescent="0.3">
      <c r="B544" s="58"/>
      <c r="C544" s="58"/>
      <c r="AD544" s="58"/>
      <c r="AF544" s="58"/>
      <c r="AG544" s="58"/>
      <c r="AH544" s="58"/>
    </row>
    <row r="545" spans="2:34" x14ac:dyDescent="0.3">
      <c r="B545" s="58"/>
      <c r="C545" s="58"/>
      <c r="AD545" s="58"/>
      <c r="AF545" s="58"/>
      <c r="AG545" s="58"/>
      <c r="AH545" s="58"/>
    </row>
    <row r="546" spans="2:34" x14ac:dyDescent="0.3">
      <c r="B546" s="58"/>
      <c r="C546" s="58"/>
      <c r="AD546" s="58"/>
      <c r="AF546" s="58"/>
      <c r="AG546" s="58"/>
      <c r="AH546" s="58"/>
    </row>
    <row r="547" spans="2:34" x14ac:dyDescent="0.3">
      <c r="B547" s="58"/>
      <c r="C547" s="58"/>
      <c r="AD547" s="58"/>
      <c r="AF547" s="58"/>
      <c r="AG547" s="58"/>
      <c r="AH547" s="58"/>
    </row>
    <row r="548" spans="2:34" x14ac:dyDescent="0.3">
      <c r="B548" s="58"/>
      <c r="C548" s="58"/>
      <c r="AD548" s="58"/>
      <c r="AF548" s="58"/>
      <c r="AG548" s="58"/>
      <c r="AH548" s="58"/>
    </row>
    <row r="549" spans="2:34" x14ac:dyDescent="0.3">
      <c r="B549" s="58"/>
      <c r="C549" s="58"/>
      <c r="AD549" s="58"/>
      <c r="AF549" s="58"/>
      <c r="AG549" s="58"/>
      <c r="AH549" s="58"/>
    </row>
    <row r="550" spans="2:34" x14ac:dyDescent="0.3">
      <c r="B550" s="58"/>
      <c r="C550" s="58"/>
      <c r="AD550" s="58"/>
      <c r="AF550" s="58"/>
      <c r="AG550" s="58"/>
      <c r="AH550" s="58"/>
    </row>
    <row r="551" spans="2:34" x14ac:dyDescent="0.3">
      <c r="B551" s="58"/>
      <c r="C551" s="58"/>
      <c r="AD551" s="58"/>
      <c r="AF551" s="58"/>
      <c r="AG551" s="58"/>
      <c r="AH551" s="58"/>
    </row>
    <row r="552" spans="2:34" x14ac:dyDescent="0.3">
      <c r="B552" s="58"/>
      <c r="C552" s="58"/>
      <c r="AD552" s="58"/>
      <c r="AF552" s="58"/>
      <c r="AG552" s="58"/>
      <c r="AH552" s="58"/>
    </row>
    <row r="553" spans="2:34" x14ac:dyDescent="0.3">
      <c r="B553" s="58"/>
      <c r="C553" s="58"/>
      <c r="AD553" s="58"/>
      <c r="AF553" s="58"/>
      <c r="AG553" s="58"/>
      <c r="AH553" s="58"/>
    </row>
    <row r="554" spans="2:34" x14ac:dyDescent="0.3">
      <c r="B554" s="58"/>
      <c r="C554" s="58"/>
      <c r="AD554" s="58"/>
      <c r="AF554" s="58"/>
      <c r="AG554" s="58"/>
      <c r="AH554" s="58"/>
    </row>
    <row r="555" spans="2:34" x14ac:dyDescent="0.3">
      <c r="B555" s="58"/>
      <c r="C555" s="58"/>
      <c r="AD555" s="58"/>
      <c r="AF555" s="58"/>
      <c r="AG555" s="58"/>
      <c r="AH555" s="58"/>
    </row>
    <row r="556" spans="2:34" x14ac:dyDescent="0.3">
      <c r="B556" s="58"/>
      <c r="C556" s="58"/>
      <c r="AD556" s="58"/>
      <c r="AF556" s="58"/>
      <c r="AG556" s="58"/>
      <c r="AH556" s="58"/>
    </row>
    <row r="557" spans="2:34" x14ac:dyDescent="0.3">
      <c r="B557" s="58"/>
      <c r="C557" s="58"/>
      <c r="AD557" s="58"/>
      <c r="AF557" s="58"/>
      <c r="AG557" s="58"/>
      <c r="AH557" s="58"/>
    </row>
    <row r="558" spans="2:34" x14ac:dyDescent="0.3">
      <c r="B558" s="58"/>
      <c r="C558" s="58"/>
      <c r="AD558" s="58"/>
      <c r="AF558" s="58"/>
      <c r="AG558" s="58"/>
      <c r="AH558" s="58"/>
    </row>
    <row r="559" spans="2:34" x14ac:dyDescent="0.3">
      <c r="B559" s="58"/>
      <c r="C559" s="58"/>
      <c r="AD559" s="58"/>
      <c r="AF559" s="58"/>
      <c r="AG559" s="58"/>
      <c r="AH559" s="58"/>
    </row>
    <row r="560" spans="2:34" x14ac:dyDescent="0.3">
      <c r="B560" s="58"/>
      <c r="C560" s="58"/>
      <c r="AD560" s="58"/>
      <c r="AF560" s="58"/>
      <c r="AG560" s="58"/>
      <c r="AH560" s="58"/>
    </row>
    <row r="561" spans="2:34" x14ac:dyDescent="0.3">
      <c r="B561" s="58"/>
      <c r="C561" s="58"/>
      <c r="AD561" s="58"/>
      <c r="AF561" s="58"/>
      <c r="AG561" s="58"/>
      <c r="AH561" s="58"/>
    </row>
    <row r="562" spans="2:34" x14ac:dyDescent="0.3">
      <c r="B562" s="58"/>
      <c r="C562" s="58"/>
      <c r="AD562" s="58"/>
      <c r="AF562" s="58"/>
      <c r="AG562" s="58"/>
      <c r="AH562" s="58"/>
    </row>
    <row r="563" spans="2:34" x14ac:dyDescent="0.3">
      <c r="B563" s="58"/>
      <c r="C563" s="58"/>
      <c r="AD563" s="58"/>
      <c r="AF563" s="58"/>
      <c r="AG563" s="58"/>
      <c r="AH563" s="58"/>
    </row>
    <row r="564" spans="2:34" x14ac:dyDescent="0.3">
      <c r="B564" s="58"/>
      <c r="C564" s="58"/>
      <c r="AD564" s="58"/>
      <c r="AF564" s="58"/>
      <c r="AG564" s="58"/>
      <c r="AH564" s="58"/>
    </row>
    <row r="565" spans="2:34" x14ac:dyDescent="0.3">
      <c r="B565" s="58"/>
      <c r="C565" s="58"/>
      <c r="AD565" s="58"/>
      <c r="AF565" s="58"/>
      <c r="AG565" s="58"/>
      <c r="AH565" s="58"/>
    </row>
    <row r="566" spans="2:34" x14ac:dyDescent="0.3">
      <c r="B566" s="58"/>
      <c r="C566" s="58"/>
      <c r="AD566" s="58"/>
      <c r="AF566" s="58"/>
      <c r="AG566" s="58"/>
      <c r="AH566" s="58"/>
    </row>
    <row r="567" spans="2:34" x14ac:dyDescent="0.3">
      <c r="B567" s="58"/>
      <c r="C567" s="58"/>
      <c r="AD567" s="58"/>
      <c r="AF567" s="58"/>
      <c r="AG567" s="58"/>
      <c r="AH567" s="58"/>
    </row>
    <row r="568" spans="2:34" x14ac:dyDescent="0.3">
      <c r="B568" s="58"/>
      <c r="C568" s="58"/>
      <c r="AD568" s="58"/>
      <c r="AF568" s="58"/>
      <c r="AG568" s="58"/>
      <c r="AH568" s="58"/>
    </row>
    <row r="569" spans="2:34" x14ac:dyDescent="0.3">
      <c r="B569" s="58"/>
      <c r="C569" s="58"/>
      <c r="AD569" s="58"/>
      <c r="AF569" s="58"/>
      <c r="AG569" s="58"/>
      <c r="AH569" s="58"/>
    </row>
    <row r="570" spans="2:34" x14ac:dyDescent="0.3">
      <c r="B570" s="58"/>
      <c r="C570" s="58"/>
      <c r="AD570" s="58"/>
      <c r="AF570" s="58"/>
      <c r="AG570" s="58"/>
      <c r="AH570" s="58"/>
    </row>
    <row r="571" spans="2:34" x14ac:dyDescent="0.3">
      <c r="B571" s="58"/>
      <c r="C571" s="58"/>
      <c r="AD571" s="58"/>
      <c r="AF571" s="58"/>
      <c r="AG571" s="58"/>
      <c r="AH571" s="58"/>
    </row>
    <row r="572" spans="2:34" x14ac:dyDescent="0.3">
      <c r="B572" s="58"/>
      <c r="C572" s="58"/>
      <c r="AD572" s="58"/>
      <c r="AF572" s="58"/>
      <c r="AG572" s="58"/>
      <c r="AH572" s="58"/>
    </row>
    <row r="573" spans="2:34" x14ac:dyDescent="0.3">
      <c r="B573" s="58"/>
      <c r="C573" s="58"/>
      <c r="AD573" s="58"/>
      <c r="AF573" s="58"/>
      <c r="AG573" s="58"/>
      <c r="AH573" s="58"/>
    </row>
    <row r="574" spans="2:34" x14ac:dyDescent="0.3">
      <c r="B574" s="58"/>
      <c r="C574" s="58"/>
      <c r="AD574" s="58"/>
      <c r="AF574" s="58"/>
      <c r="AG574" s="58"/>
      <c r="AH574" s="58"/>
    </row>
    <row r="575" spans="2:34" x14ac:dyDescent="0.3">
      <c r="B575" s="58"/>
      <c r="C575" s="58"/>
      <c r="AD575" s="58"/>
      <c r="AF575" s="58"/>
      <c r="AG575" s="58"/>
      <c r="AH575" s="58"/>
    </row>
    <row r="576" spans="2:34" x14ac:dyDescent="0.3">
      <c r="B576" s="58"/>
      <c r="C576" s="58"/>
      <c r="AD576" s="58"/>
      <c r="AF576" s="58"/>
      <c r="AG576" s="58"/>
      <c r="AH576" s="58"/>
    </row>
    <row r="577" spans="2:34" x14ac:dyDescent="0.3">
      <c r="B577" s="58"/>
      <c r="C577" s="58"/>
      <c r="AD577" s="58"/>
      <c r="AF577" s="58"/>
      <c r="AG577" s="58"/>
      <c r="AH577" s="58"/>
    </row>
    <row r="578" spans="2:34" x14ac:dyDescent="0.3">
      <c r="B578" s="58"/>
      <c r="C578" s="58"/>
      <c r="AD578" s="58"/>
      <c r="AF578" s="58"/>
      <c r="AG578" s="58"/>
      <c r="AH578" s="58"/>
    </row>
    <row r="579" spans="2:34" x14ac:dyDescent="0.3">
      <c r="B579" s="58"/>
      <c r="C579" s="58"/>
      <c r="AD579" s="58"/>
      <c r="AF579" s="58"/>
      <c r="AG579" s="58"/>
      <c r="AH579" s="58"/>
    </row>
    <row r="580" spans="2:34" x14ac:dyDescent="0.3">
      <c r="B580" s="58"/>
      <c r="C580" s="58"/>
      <c r="AD580" s="58"/>
      <c r="AF580" s="58"/>
      <c r="AG580" s="58"/>
      <c r="AH580" s="58"/>
    </row>
    <row r="581" spans="2:34" x14ac:dyDescent="0.3">
      <c r="B581" s="58"/>
      <c r="C581" s="58"/>
      <c r="AD581" s="58"/>
      <c r="AF581" s="58"/>
      <c r="AG581" s="58"/>
      <c r="AH581" s="58"/>
    </row>
    <row r="582" spans="2:34" x14ac:dyDescent="0.3">
      <c r="B582" s="58"/>
      <c r="C582" s="58"/>
      <c r="AD582" s="58"/>
      <c r="AF582" s="58"/>
      <c r="AG582" s="58"/>
      <c r="AH582" s="58"/>
    </row>
    <row r="583" spans="2:34" x14ac:dyDescent="0.3">
      <c r="B583" s="58"/>
      <c r="C583" s="58"/>
      <c r="AD583" s="58"/>
      <c r="AF583" s="58"/>
      <c r="AG583" s="58"/>
      <c r="AH583" s="58"/>
    </row>
    <row r="584" spans="2:34" x14ac:dyDescent="0.3">
      <c r="B584" s="58"/>
      <c r="C584" s="58"/>
      <c r="AD584" s="58"/>
      <c r="AF584" s="58"/>
      <c r="AG584" s="58"/>
      <c r="AH584" s="58"/>
    </row>
    <row r="585" spans="2:34" x14ac:dyDescent="0.3">
      <c r="B585" s="58"/>
      <c r="C585" s="58"/>
      <c r="AD585" s="58"/>
      <c r="AF585" s="58"/>
      <c r="AG585" s="58"/>
      <c r="AH585" s="58"/>
    </row>
    <row r="586" spans="2:34" x14ac:dyDescent="0.3">
      <c r="B586" s="58"/>
      <c r="C586" s="58"/>
      <c r="AD586" s="58"/>
      <c r="AF586" s="58"/>
      <c r="AG586" s="58"/>
      <c r="AH586" s="58"/>
    </row>
    <row r="587" spans="2:34" x14ac:dyDescent="0.3">
      <c r="B587" s="58"/>
      <c r="C587" s="58"/>
      <c r="AD587" s="58"/>
      <c r="AF587" s="58"/>
      <c r="AG587" s="58"/>
      <c r="AH587" s="58"/>
    </row>
    <row r="588" spans="2:34" x14ac:dyDescent="0.3">
      <c r="B588" s="58"/>
      <c r="C588" s="58"/>
      <c r="AD588" s="58"/>
      <c r="AF588" s="58"/>
      <c r="AG588" s="58"/>
      <c r="AH588" s="58"/>
    </row>
    <row r="589" spans="2:34" x14ac:dyDescent="0.3">
      <c r="B589" s="58"/>
      <c r="C589" s="58"/>
      <c r="AD589" s="58"/>
      <c r="AF589" s="58"/>
      <c r="AG589" s="58"/>
      <c r="AH589" s="58"/>
    </row>
    <row r="590" spans="2:34" x14ac:dyDescent="0.3">
      <c r="B590" s="58"/>
      <c r="C590" s="58"/>
      <c r="AD590" s="58"/>
      <c r="AF590" s="58"/>
      <c r="AG590" s="58"/>
      <c r="AH590" s="58"/>
    </row>
    <row r="591" spans="2:34" x14ac:dyDescent="0.3">
      <c r="B591" s="58"/>
      <c r="C591" s="58"/>
      <c r="AD591" s="58"/>
      <c r="AF591" s="58"/>
      <c r="AG591" s="58"/>
      <c r="AH591" s="58"/>
    </row>
    <row r="592" spans="2:34" x14ac:dyDescent="0.3">
      <c r="B592" s="58"/>
      <c r="C592" s="58"/>
      <c r="AD592" s="58"/>
      <c r="AF592" s="58"/>
      <c r="AG592" s="58"/>
      <c r="AH592" s="58"/>
    </row>
    <row r="593" spans="2:34" x14ac:dyDescent="0.3">
      <c r="B593" s="58"/>
      <c r="C593" s="58"/>
      <c r="AD593" s="58"/>
      <c r="AF593" s="58"/>
      <c r="AG593" s="58"/>
      <c r="AH593" s="58"/>
    </row>
    <row r="594" spans="2:34" x14ac:dyDescent="0.3">
      <c r="B594" s="58"/>
      <c r="C594" s="58"/>
      <c r="AD594" s="58"/>
      <c r="AF594" s="58"/>
      <c r="AG594" s="58"/>
      <c r="AH594" s="58"/>
    </row>
    <row r="595" spans="2:34" x14ac:dyDescent="0.3">
      <c r="B595" s="58"/>
      <c r="C595" s="58"/>
      <c r="AD595" s="58"/>
      <c r="AF595" s="58"/>
      <c r="AG595" s="58"/>
      <c r="AH595" s="58"/>
    </row>
    <row r="596" spans="2:34" x14ac:dyDescent="0.3">
      <c r="B596" s="58"/>
      <c r="C596" s="58"/>
      <c r="AD596" s="58"/>
      <c r="AF596" s="58"/>
      <c r="AG596" s="58"/>
      <c r="AH596" s="58"/>
    </row>
    <row r="597" spans="2:34" x14ac:dyDescent="0.3">
      <c r="B597" s="58"/>
      <c r="C597" s="58"/>
      <c r="AD597" s="58"/>
      <c r="AF597" s="58"/>
      <c r="AG597" s="58"/>
      <c r="AH597" s="58"/>
    </row>
    <row r="598" spans="2:34" x14ac:dyDescent="0.3">
      <c r="B598" s="58"/>
      <c r="C598" s="58"/>
      <c r="AD598" s="58"/>
      <c r="AF598" s="58"/>
      <c r="AG598" s="58"/>
      <c r="AH598" s="58"/>
    </row>
    <row r="599" spans="2:34" x14ac:dyDescent="0.3">
      <c r="B599" s="58"/>
      <c r="C599" s="58"/>
      <c r="AD599" s="58"/>
      <c r="AF599" s="58"/>
      <c r="AG599" s="58"/>
      <c r="AH599" s="58"/>
    </row>
    <row r="600" spans="2:34" x14ac:dyDescent="0.3">
      <c r="B600" s="58"/>
      <c r="C600" s="58"/>
      <c r="AD600" s="58"/>
      <c r="AF600" s="58"/>
      <c r="AG600" s="58"/>
      <c r="AH600" s="58"/>
    </row>
    <row r="601" spans="2:34" x14ac:dyDescent="0.3">
      <c r="B601" s="58"/>
      <c r="C601" s="58"/>
      <c r="AD601" s="58"/>
      <c r="AF601" s="58"/>
      <c r="AG601" s="58"/>
      <c r="AH601" s="58"/>
    </row>
    <row r="602" spans="2:34" x14ac:dyDescent="0.3">
      <c r="B602" s="58"/>
      <c r="C602" s="58"/>
      <c r="AD602" s="58"/>
      <c r="AF602" s="58"/>
      <c r="AG602" s="58"/>
      <c r="AH602" s="58"/>
    </row>
    <row r="603" spans="2:34" x14ac:dyDescent="0.3">
      <c r="B603" s="58"/>
      <c r="C603" s="58"/>
      <c r="AD603" s="58"/>
      <c r="AF603" s="58"/>
      <c r="AG603" s="58"/>
      <c r="AH603" s="58"/>
    </row>
    <row r="604" spans="2:34" x14ac:dyDescent="0.3">
      <c r="B604" s="58"/>
      <c r="C604" s="58"/>
      <c r="AD604" s="58"/>
      <c r="AF604" s="58"/>
      <c r="AG604" s="58"/>
      <c r="AH604" s="58"/>
    </row>
    <row r="605" spans="2:34" x14ac:dyDescent="0.3">
      <c r="B605" s="58"/>
      <c r="C605" s="58"/>
      <c r="AD605" s="58"/>
      <c r="AF605" s="58"/>
      <c r="AG605" s="58"/>
      <c r="AH605" s="58"/>
    </row>
    <row r="606" spans="2:34" x14ac:dyDescent="0.3">
      <c r="B606" s="58"/>
      <c r="C606" s="58"/>
      <c r="AD606" s="58"/>
      <c r="AF606" s="58"/>
      <c r="AG606" s="58"/>
      <c r="AH606" s="58"/>
    </row>
    <row r="607" spans="2:34" x14ac:dyDescent="0.3">
      <c r="B607" s="58"/>
      <c r="C607" s="58"/>
      <c r="AD607" s="58"/>
      <c r="AF607" s="58"/>
      <c r="AG607" s="58"/>
      <c r="AH607" s="58"/>
    </row>
    <row r="608" spans="2:34" x14ac:dyDescent="0.3">
      <c r="B608" s="58"/>
      <c r="C608" s="58"/>
      <c r="AD608" s="58"/>
      <c r="AF608" s="58"/>
      <c r="AG608" s="58"/>
      <c r="AH608" s="58"/>
    </row>
    <row r="609" spans="2:34" x14ac:dyDescent="0.3">
      <c r="B609" s="58"/>
      <c r="C609" s="58"/>
      <c r="AD609" s="58"/>
      <c r="AF609" s="58"/>
      <c r="AG609" s="58"/>
      <c r="AH609" s="58"/>
    </row>
    <row r="610" spans="2:34" x14ac:dyDescent="0.3">
      <c r="B610" s="58"/>
      <c r="C610" s="58"/>
      <c r="AD610" s="58"/>
      <c r="AF610" s="58"/>
      <c r="AG610" s="58"/>
      <c r="AH610" s="58"/>
    </row>
    <row r="611" spans="2:34" x14ac:dyDescent="0.3">
      <c r="B611" s="58"/>
      <c r="C611" s="58"/>
      <c r="AD611" s="58"/>
      <c r="AF611" s="58"/>
      <c r="AG611" s="58"/>
      <c r="AH611" s="58"/>
    </row>
    <row r="612" spans="2:34" x14ac:dyDescent="0.3">
      <c r="B612" s="58"/>
      <c r="C612" s="58"/>
      <c r="AD612" s="58"/>
      <c r="AF612" s="58"/>
      <c r="AG612" s="58"/>
      <c r="AH612" s="58"/>
    </row>
    <row r="613" spans="2:34" x14ac:dyDescent="0.3">
      <c r="B613" s="58"/>
      <c r="C613" s="58"/>
      <c r="AD613" s="58"/>
      <c r="AF613" s="58"/>
      <c r="AG613" s="58"/>
      <c r="AH613" s="58"/>
    </row>
    <row r="614" spans="2:34" x14ac:dyDescent="0.3">
      <c r="B614" s="58"/>
      <c r="C614" s="58"/>
      <c r="AD614" s="58"/>
      <c r="AF614" s="58"/>
      <c r="AG614" s="58"/>
      <c r="AH614" s="58"/>
    </row>
    <row r="615" spans="2:34" x14ac:dyDescent="0.3">
      <c r="B615" s="58"/>
      <c r="C615" s="58"/>
      <c r="AD615" s="58"/>
      <c r="AF615" s="58"/>
      <c r="AG615" s="58"/>
      <c r="AH615" s="58"/>
    </row>
    <row r="616" spans="2:34" x14ac:dyDescent="0.3">
      <c r="B616" s="58"/>
      <c r="C616" s="58"/>
      <c r="AD616" s="58"/>
      <c r="AF616" s="58"/>
      <c r="AG616" s="58"/>
      <c r="AH616" s="58"/>
    </row>
    <row r="617" spans="2:34" x14ac:dyDescent="0.3">
      <c r="B617" s="58"/>
      <c r="C617" s="58"/>
      <c r="AD617" s="58"/>
      <c r="AF617" s="58"/>
      <c r="AG617" s="58"/>
      <c r="AH617" s="58"/>
    </row>
    <row r="618" spans="2:34" x14ac:dyDescent="0.3">
      <c r="B618" s="58"/>
      <c r="C618" s="58"/>
      <c r="AD618" s="58"/>
      <c r="AF618" s="58"/>
      <c r="AG618" s="58"/>
      <c r="AH618" s="58"/>
    </row>
    <row r="619" spans="2:34" x14ac:dyDescent="0.3">
      <c r="B619" s="58"/>
      <c r="C619" s="58"/>
      <c r="AD619" s="58"/>
      <c r="AF619" s="58"/>
      <c r="AG619" s="58"/>
      <c r="AH619" s="58"/>
    </row>
    <row r="620" spans="2:34" x14ac:dyDescent="0.3">
      <c r="B620" s="58"/>
      <c r="C620" s="58"/>
      <c r="AD620" s="58"/>
      <c r="AF620" s="58"/>
      <c r="AG620" s="58"/>
      <c r="AH620" s="58"/>
    </row>
    <row r="621" spans="2:34" x14ac:dyDescent="0.3">
      <c r="B621" s="58"/>
      <c r="C621" s="58"/>
      <c r="AD621" s="58"/>
      <c r="AF621" s="58"/>
      <c r="AG621" s="58"/>
      <c r="AH621" s="58"/>
    </row>
    <row r="622" spans="2:34" x14ac:dyDescent="0.3">
      <c r="B622" s="58"/>
      <c r="C622" s="58"/>
      <c r="AD622" s="58"/>
      <c r="AF622" s="58"/>
      <c r="AG622" s="58"/>
      <c r="AH622" s="58"/>
    </row>
    <row r="623" spans="2:34" x14ac:dyDescent="0.3">
      <c r="B623" s="58"/>
      <c r="C623" s="58"/>
      <c r="AD623" s="58"/>
      <c r="AF623" s="58"/>
      <c r="AG623" s="58"/>
      <c r="AH623" s="58"/>
    </row>
    <row r="624" spans="2:34" x14ac:dyDescent="0.3">
      <c r="B624" s="58"/>
      <c r="C624" s="58"/>
      <c r="AD624" s="58"/>
      <c r="AF624" s="58"/>
      <c r="AG624" s="58"/>
      <c r="AH624" s="58"/>
    </row>
    <row r="625" spans="2:34" x14ac:dyDescent="0.3">
      <c r="B625" s="58"/>
      <c r="C625" s="58"/>
      <c r="AD625" s="58"/>
      <c r="AF625" s="58"/>
      <c r="AG625" s="58"/>
      <c r="AH625" s="58"/>
    </row>
    <row r="626" spans="2:34" x14ac:dyDescent="0.3">
      <c r="B626" s="58"/>
      <c r="C626" s="58"/>
      <c r="AD626" s="58"/>
      <c r="AF626" s="58"/>
      <c r="AG626" s="58"/>
      <c r="AH626" s="58"/>
    </row>
    <row r="627" spans="2:34" x14ac:dyDescent="0.3">
      <c r="B627" s="58"/>
      <c r="C627" s="58"/>
      <c r="AD627" s="58"/>
      <c r="AF627" s="58"/>
      <c r="AG627" s="58"/>
      <c r="AH627" s="58"/>
    </row>
    <row r="628" spans="2:34" x14ac:dyDescent="0.3">
      <c r="B628" s="58"/>
      <c r="C628" s="58"/>
      <c r="AD628" s="58"/>
      <c r="AF628" s="58"/>
      <c r="AG628" s="58"/>
      <c r="AH628" s="58"/>
    </row>
    <row r="629" spans="2:34" x14ac:dyDescent="0.3">
      <c r="B629" s="58"/>
      <c r="C629" s="58"/>
      <c r="AD629" s="58"/>
      <c r="AF629" s="58"/>
      <c r="AG629" s="58"/>
      <c r="AH629" s="58"/>
    </row>
    <row r="630" spans="2:34" x14ac:dyDescent="0.3">
      <c r="B630" s="58"/>
      <c r="C630" s="58"/>
      <c r="AD630" s="58"/>
      <c r="AF630" s="58"/>
      <c r="AG630" s="58"/>
      <c r="AH630" s="58"/>
    </row>
    <row r="631" spans="2:34" x14ac:dyDescent="0.3">
      <c r="B631" s="58"/>
      <c r="C631" s="58"/>
      <c r="AD631" s="58"/>
      <c r="AF631" s="58"/>
      <c r="AG631" s="58"/>
      <c r="AH631" s="58"/>
    </row>
    <row r="632" spans="2:34" x14ac:dyDescent="0.3">
      <c r="B632" s="58"/>
      <c r="C632" s="58"/>
      <c r="AD632" s="58"/>
      <c r="AF632" s="58"/>
      <c r="AG632" s="58"/>
      <c r="AH632" s="58"/>
    </row>
    <row r="633" spans="2:34" x14ac:dyDescent="0.3">
      <c r="B633" s="58"/>
      <c r="C633" s="58"/>
      <c r="AD633" s="58"/>
      <c r="AF633" s="58"/>
      <c r="AG633" s="58"/>
      <c r="AH633" s="58"/>
    </row>
    <row r="634" spans="2:34" x14ac:dyDescent="0.3">
      <c r="B634" s="58"/>
      <c r="C634" s="58"/>
      <c r="AD634" s="58"/>
      <c r="AF634" s="58"/>
      <c r="AG634" s="58"/>
      <c r="AH634" s="58"/>
    </row>
    <row r="635" spans="2:34" x14ac:dyDescent="0.3">
      <c r="B635" s="58"/>
      <c r="C635" s="58"/>
      <c r="AD635" s="58"/>
      <c r="AF635" s="58"/>
      <c r="AG635" s="58"/>
      <c r="AH635" s="58"/>
    </row>
    <row r="636" spans="2:34" x14ac:dyDescent="0.3">
      <c r="B636" s="58"/>
      <c r="C636" s="58"/>
      <c r="AD636" s="58"/>
      <c r="AF636" s="58"/>
      <c r="AG636" s="58"/>
      <c r="AH636" s="58"/>
    </row>
    <row r="637" spans="2:34" x14ac:dyDescent="0.3">
      <c r="B637" s="58"/>
      <c r="C637" s="58"/>
      <c r="AD637" s="58"/>
      <c r="AF637" s="58"/>
      <c r="AG637" s="58"/>
      <c r="AH637" s="58"/>
    </row>
    <row r="638" spans="2:34" x14ac:dyDescent="0.3">
      <c r="B638" s="58"/>
      <c r="C638" s="58"/>
      <c r="AD638" s="58"/>
      <c r="AF638" s="58"/>
      <c r="AG638" s="58"/>
      <c r="AH638" s="58"/>
    </row>
    <row r="639" spans="2:34" x14ac:dyDescent="0.3">
      <c r="B639" s="58"/>
      <c r="C639" s="58"/>
      <c r="AD639" s="58"/>
      <c r="AF639" s="58"/>
      <c r="AG639" s="58"/>
      <c r="AH639" s="58"/>
    </row>
    <row r="640" spans="2:34" x14ac:dyDescent="0.3">
      <c r="B640" s="58"/>
      <c r="C640" s="58"/>
      <c r="AD640" s="58"/>
      <c r="AF640" s="58"/>
      <c r="AG640" s="58"/>
      <c r="AH640" s="58"/>
    </row>
    <row r="641" spans="2:34" x14ac:dyDescent="0.3">
      <c r="B641" s="58"/>
      <c r="C641" s="58"/>
      <c r="AD641" s="58"/>
      <c r="AF641" s="58"/>
      <c r="AG641" s="58"/>
      <c r="AH641" s="58"/>
    </row>
    <row r="642" spans="2:34" x14ac:dyDescent="0.3">
      <c r="B642" s="58"/>
      <c r="C642" s="58"/>
      <c r="AD642" s="58"/>
      <c r="AF642" s="58"/>
      <c r="AG642" s="58"/>
      <c r="AH642" s="58"/>
    </row>
    <row r="643" spans="2:34" x14ac:dyDescent="0.3">
      <c r="B643" s="58"/>
      <c r="C643" s="58"/>
      <c r="AD643" s="58"/>
      <c r="AF643" s="58"/>
      <c r="AG643" s="58"/>
      <c r="AH643" s="58"/>
    </row>
    <row r="644" spans="2:34" x14ac:dyDescent="0.3">
      <c r="B644" s="58"/>
      <c r="C644" s="58"/>
      <c r="AD644" s="58"/>
      <c r="AF644" s="58"/>
      <c r="AG644" s="58"/>
      <c r="AH644" s="58"/>
    </row>
    <row r="645" spans="2:34" x14ac:dyDescent="0.3">
      <c r="B645" s="58"/>
      <c r="C645" s="58"/>
      <c r="AD645" s="58"/>
      <c r="AF645" s="58"/>
      <c r="AG645" s="58"/>
      <c r="AH645" s="58"/>
    </row>
    <row r="646" spans="2:34" x14ac:dyDescent="0.3">
      <c r="B646" s="58"/>
      <c r="C646" s="58"/>
      <c r="AD646" s="58"/>
      <c r="AF646" s="58"/>
      <c r="AG646" s="58"/>
      <c r="AH646" s="58"/>
    </row>
    <row r="647" spans="2:34" x14ac:dyDescent="0.3">
      <c r="B647" s="58"/>
      <c r="C647" s="58"/>
      <c r="AD647" s="58"/>
      <c r="AF647" s="58"/>
      <c r="AG647" s="58"/>
      <c r="AH647" s="58"/>
    </row>
    <row r="648" spans="2:34" x14ac:dyDescent="0.3">
      <c r="B648" s="58"/>
      <c r="C648" s="58"/>
      <c r="AD648" s="58"/>
      <c r="AF648" s="58"/>
      <c r="AG648" s="58"/>
      <c r="AH648" s="58"/>
    </row>
    <row r="649" spans="2:34" x14ac:dyDescent="0.3">
      <c r="B649" s="58"/>
      <c r="C649" s="58"/>
      <c r="AD649" s="58"/>
      <c r="AF649" s="58"/>
      <c r="AG649" s="58"/>
      <c r="AH649" s="58"/>
    </row>
    <row r="650" spans="2:34" x14ac:dyDescent="0.3">
      <c r="B650" s="58"/>
      <c r="C650" s="58"/>
      <c r="AD650" s="58"/>
      <c r="AF650" s="58"/>
      <c r="AG650" s="58"/>
      <c r="AH650" s="58"/>
    </row>
    <row r="651" spans="2:34" x14ac:dyDescent="0.3">
      <c r="B651" s="58"/>
      <c r="C651" s="58"/>
      <c r="AD651" s="58"/>
      <c r="AF651" s="58"/>
      <c r="AG651" s="58"/>
      <c r="AH651" s="58"/>
    </row>
    <row r="652" spans="2:34" x14ac:dyDescent="0.3">
      <c r="B652" s="58"/>
      <c r="C652" s="58"/>
      <c r="AD652" s="58"/>
      <c r="AF652" s="58"/>
      <c r="AG652" s="58"/>
      <c r="AH652" s="58"/>
    </row>
    <row r="653" spans="2:34" x14ac:dyDescent="0.3">
      <c r="B653" s="58"/>
      <c r="C653" s="58"/>
      <c r="AD653" s="58"/>
      <c r="AF653" s="58"/>
      <c r="AG653" s="58"/>
      <c r="AH653" s="58"/>
    </row>
    <row r="654" spans="2:34" x14ac:dyDescent="0.3">
      <c r="B654" s="58"/>
      <c r="C654" s="58"/>
      <c r="AD654" s="58"/>
      <c r="AF654" s="58"/>
      <c r="AG654" s="58"/>
      <c r="AH654" s="58"/>
    </row>
    <row r="655" spans="2:34" x14ac:dyDescent="0.3">
      <c r="B655" s="58"/>
      <c r="C655" s="58"/>
      <c r="AD655" s="58"/>
      <c r="AF655" s="58"/>
      <c r="AG655" s="58"/>
      <c r="AH655" s="58"/>
    </row>
    <row r="656" spans="2:34" x14ac:dyDescent="0.3">
      <c r="B656" s="58"/>
      <c r="C656" s="58"/>
      <c r="AD656" s="58"/>
      <c r="AF656" s="58"/>
      <c r="AG656" s="58"/>
      <c r="AH656" s="58"/>
    </row>
    <row r="657" spans="2:34" x14ac:dyDescent="0.3">
      <c r="B657" s="58"/>
      <c r="C657" s="58"/>
      <c r="AD657" s="58"/>
      <c r="AF657" s="58"/>
      <c r="AG657" s="58"/>
      <c r="AH657" s="58"/>
    </row>
    <row r="658" spans="2:34" x14ac:dyDescent="0.3">
      <c r="B658" s="58"/>
      <c r="C658" s="58"/>
      <c r="AD658" s="58"/>
      <c r="AF658" s="58"/>
      <c r="AG658" s="58"/>
      <c r="AH658" s="58"/>
    </row>
    <row r="659" spans="2:34" x14ac:dyDescent="0.3">
      <c r="B659" s="58"/>
      <c r="C659" s="58"/>
      <c r="AD659" s="58"/>
      <c r="AF659" s="58"/>
      <c r="AG659" s="58"/>
      <c r="AH659" s="58"/>
    </row>
    <row r="660" spans="2:34" x14ac:dyDescent="0.3">
      <c r="B660" s="58"/>
      <c r="C660" s="58"/>
      <c r="AD660" s="58"/>
      <c r="AF660" s="58"/>
      <c r="AG660" s="58"/>
      <c r="AH660" s="58"/>
    </row>
    <row r="661" spans="2:34" x14ac:dyDescent="0.3">
      <c r="B661" s="58"/>
      <c r="C661" s="58"/>
      <c r="AD661" s="58"/>
      <c r="AF661" s="58"/>
      <c r="AG661" s="58"/>
      <c r="AH661" s="58"/>
    </row>
    <row r="662" spans="2:34" x14ac:dyDescent="0.3">
      <c r="B662" s="58"/>
      <c r="C662" s="58"/>
      <c r="AD662" s="58"/>
      <c r="AF662" s="58"/>
      <c r="AG662" s="58"/>
      <c r="AH662" s="58"/>
    </row>
    <row r="663" spans="2:34" x14ac:dyDescent="0.3">
      <c r="B663" s="58"/>
      <c r="C663" s="58"/>
      <c r="AD663" s="58"/>
      <c r="AF663" s="58"/>
      <c r="AG663" s="58"/>
      <c r="AH663" s="58"/>
    </row>
    <row r="664" spans="2:34" x14ac:dyDescent="0.3">
      <c r="B664" s="58"/>
      <c r="C664" s="58"/>
      <c r="AD664" s="58"/>
      <c r="AF664" s="58"/>
      <c r="AG664" s="58"/>
      <c r="AH664" s="58"/>
    </row>
    <row r="665" spans="2:34" x14ac:dyDescent="0.3">
      <c r="B665" s="58"/>
      <c r="C665" s="58"/>
      <c r="AD665" s="58"/>
      <c r="AF665" s="58"/>
      <c r="AG665" s="58"/>
      <c r="AH665" s="58"/>
    </row>
    <row r="666" spans="2:34" x14ac:dyDescent="0.3">
      <c r="B666" s="58"/>
      <c r="C666" s="58"/>
      <c r="AD666" s="58"/>
      <c r="AF666" s="58"/>
      <c r="AG666" s="58"/>
      <c r="AH666" s="58"/>
    </row>
    <row r="667" spans="2:34" x14ac:dyDescent="0.3">
      <c r="B667" s="58"/>
      <c r="C667" s="58"/>
      <c r="AD667" s="58"/>
      <c r="AF667" s="58"/>
      <c r="AG667" s="58"/>
      <c r="AH667" s="58"/>
    </row>
    <row r="668" spans="2:34" x14ac:dyDescent="0.3">
      <c r="B668" s="58"/>
      <c r="C668" s="58"/>
      <c r="AD668" s="58"/>
      <c r="AF668" s="58"/>
      <c r="AG668" s="58"/>
      <c r="AH668" s="58"/>
    </row>
    <row r="669" spans="2:34" x14ac:dyDescent="0.3">
      <c r="B669" s="58"/>
      <c r="C669" s="58"/>
      <c r="AD669" s="58"/>
      <c r="AF669" s="58"/>
      <c r="AG669" s="58"/>
      <c r="AH669" s="58"/>
    </row>
    <row r="670" spans="2:34" x14ac:dyDescent="0.3">
      <c r="B670" s="58"/>
      <c r="C670" s="58"/>
      <c r="AD670" s="58"/>
      <c r="AF670" s="58"/>
      <c r="AG670" s="58"/>
      <c r="AH670" s="58"/>
    </row>
    <row r="671" spans="2:34" x14ac:dyDescent="0.3">
      <c r="B671" s="58"/>
      <c r="C671" s="58"/>
      <c r="AD671" s="58"/>
      <c r="AF671" s="58"/>
      <c r="AG671" s="58"/>
      <c r="AH671" s="58"/>
    </row>
    <row r="672" spans="2:34" x14ac:dyDescent="0.3">
      <c r="B672" s="58"/>
      <c r="C672" s="58"/>
      <c r="AD672" s="58"/>
      <c r="AF672" s="58"/>
      <c r="AG672" s="58"/>
      <c r="AH672" s="58"/>
    </row>
    <row r="673" spans="2:34" x14ac:dyDescent="0.3">
      <c r="B673" s="58"/>
      <c r="C673" s="58"/>
      <c r="AD673" s="58"/>
      <c r="AF673" s="58"/>
      <c r="AG673" s="58"/>
      <c r="AH673" s="58"/>
    </row>
    <row r="674" spans="2:34" x14ac:dyDescent="0.3">
      <c r="B674" s="58"/>
      <c r="C674" s="58"/>
      <c r="AD674" s="58"/>
      <c r="AF674" s="58"/>
      <c r="AG674" s="58"/>
      <c r="AH674" s="58"/>
    </row>
    <row r="675" spans="2:34" x14ac:dyDescent="0.3">
      <c r="B675" s="58"/>
      <c r="C675" s="58"/>
      <c r="AD675" s="58"/>
      <c r="AF675" s="58"/>
      <c r="AG675" s="58"/>
      <c r="AH675" s="58"/>
    </row>
    <row r="676" spans="2:34" x14ac:dyDescent="0.3">
      <c r="B676" s="58"/>
      <c r="C676" s="58"/>
      <c r="AD676" s="58"/>
      <c r="AF676" s="58"/>
      <c r="AG676" s="58"/>
      <c r="AH676" s="58"/>
    </row>
    <row r="677" spans="2:34" x14ac:dyDescent="0.3">
      <c r="B677" s="58"/>
      <c r="C677" s="58"/>
      <c r="AD677" s="58"/>
      <c r="AF677" s="58"/>
      <c r="AG677" s="58"/>
      <c r="AH677" s="58"/>
    </row>
    <row r="678" spans="2:34" x14ac:dyDescent="0.3">
      <c r="B678" s="58"/>
      <c r="C678" s="58"/>
      <c r="AD678" s="58"/>
      <c r="AF678" s="58"/>
      <c r="AG678" s="58"/>
      <c r="AH678" s="58"/>
    </row>
    <row r="679" spans="2:34" x14ac:dyDescent="0.3">
      <c r="B679" s="58"/>
      <c r="C679" s="58"/>
      <c r="AD679" s="58"/>
      <c r="AF679" s="58"/>
      <c r="AG679" s="58"/>
      <c r="AH679" s="58"/>
    </row>
    <row r="680" spans="2:34" x14ac:dyDescent="0.3">
      <c r="B680" s="58"/>
      <c r="C680" s="58"/>
      <c r="AD680" s="58"/>
      <c r="AF680" s="58"/>
      <c r="AG680" s="58"/>
      <c r="AH680" s="58"/>
    </row>
    <row r="681" spans="2:34" x14ac:dyDescent="0.3">
      <c r="B681" s="58"/>
      <c r="C681" s="58"/>
      <c r="AD681" s="58"/>
      <c r="AF681" s="58"/>
      <c r="AG681" s="58"/>
      <c r="AH681" s="58"/>
    </row>
    <row r="682" spans="2:34" x14ac:dyDescent="0.3">
      <c r="B682" s="58"/>
      <c r="C682" s="58"/>
      <c r="AD682" s="58"/>
      <c r="AF682" s="58"/>
      <c r="AG682" s="58"/>
      <c r="AH682" s="58"/>
    </row>
    <row r="683" spans="2:34" x14ac:dyDescent="0.3">
      <c r="B683" s="58"/>
      <c r="C683" s="58"/>
      <c r="AD683" s="58"/>
      <c r="AF683" s="58"/>
      <c r="AG683" s="58"/>
      <c r="AH683" s="58"/>
    </row>
    <row r="684" spans="2:34" x14ac:dyDescent="0.3">
      <c r="B684" s="58"/>
      <c r="C684" s="58"/>
      <c r="AD684" s="58"/>
      <c r="AF684" s="58"/>
      <c r="AG684" s="58"/>
      <c r="AH684" s="58"/>
    </row>
    <row r="685" spans="2:34" x14ac:dyDescent="0.3">
      <c r="B685" s="58"/>
      <c r="C685" s="58"/>
      <c r="AD685" s="58"/>
      <c r="AF685" s="58"/>
      <c r="AG685" s="58"/>
      <c r="AH685" s="58"/>
    </row>
    <row r="686" spans="2:34" x14ac:dyDescent="0.3">
      <c r="B686" s="58"/>
      <c r="C686" s="58"/>
      <c r="AD686" s="58"/>
      <c r="AF686" s="58"/>
      <c r="AG686" s="58"/>
      <c r="AH686" s="58"/>
    </row>
    <row r="687" spans="2:34" x14ac:dyDescent="0.3">
      <c r="B687" s="58"/>
      <c r="C687" s="58"/>
      <c r="AD687" s="58"/>
      <c r="AF687" s="58"/>
      <c r="AG687" s="58"/>
      <c r="AH687" s="58"/>
    </row>
    <row r="688" spans="2:34" x14ac:dyDescent="0.3">
      <c r="B688" s="58"/>
      <c r="C688" s="58"/>
      <c r="AD688" s="58"/>
      <c r="AF688" s="58"/>
      <c r="AG688" s="58"/>
      <c r="AH688" s="58"/>
    </row>
    <row r="689" spans="2:34" x14ac:dyDescent="0.3">
      <c r="B689" s="58"/>
      <c r="C689" s="58"/>
      <c r="AD689" s="58"/>
      <c r="AF689" s="58"/>
      <c r="AG689" s="58"/>
      <c r="AH689" s="58"/>
    </row>
    <row r="690" spans="2:34" x14ac:dyDescent="0.3">
      <c r="B690" s="58"/>
      <c r="C690" s="58"/>
      <c r="AD690" s="58"/>
      <c r="AF690" s="58"/>
      <c r="AG690" s="58"/>
      <c r="AH690" s="58"/>
    </row>
    <row r="691" spans="2:34" x14ac:dyDescent="0.3">
      <c r="B691" s="58"/>
      <c r="C691" s="58"/>
      <c r="AD691" s="58"/>
      <c r="AF691" s="58"/>
      <c r="AG691" s="58"/>
      <c r="AH691" s="58"/>
    </row>
    <row r="692" spans="2:34" x14ac:dyDescent="0.3">
      <c r="B692" s="58"/>
      <c r="C692" s="58"/>
      <c r="AD692" s="58"/>
      <c r="AF692" s="58"/>
      <c r="AG692" s="58"/>
      <c r="AH692" s="58"/>
    </row>
    <row r="693" spans="2:34" x14ac:dyDescent="0.3">
      <c r="B693" s="58"/>
      <c r="C693" s="58"/>
      <c r="AD693" s="58"/>
      <c r="AF693" s="58"/>
      <c r="AG693" s="58"/>
      <c r="AH693" s="58"/>
    </row>
    <row r="694" spans="2:34" x14ac:dyDescent="0.3">
      <c r="B694" s="58"/>
      <c r="C694" s="58"/>
      <c r="AD694" s="58"/>
      <c r="AF694" s="58"/>
      <c r="AG694" s="58"/>
      <c r="AH694" s="58"/>
    </row>
    <row r="695" spans="2:34" x14ac:dyDescent="0.3">
      <c r="B695" s="58"/>
      <c r="C695" s="58"/>
      <c r="AD695" s="58"/>
      <c r="AF695" s="58"/>
      <c r="AG695" s="58"/>
      <c r="AH695" s="58"/>
    </row>
    <row r="696" spans="2:34" x14ac:dyDescent="0.3">
      <c r="B696" s="58"/>
      <c r="C696" s="58"/>
      <c r="AD696" s="58"/>
      <c r="AF696" s="58"/>
      <c r="AG696" s="58"/>
      <c r="AH696" s="58"/>
    </row>
    <row r="697" spans="2:34" x14ac:dyDescent="0.3">
      <c r="B697" s="58"/>
      <c r="C697" s="58"/>
      <c r="AD697" s="58"/>
      <c r="AF697" s="58"/>
      <c r="AG697" s="58"/>
      <c r="AH697" s="58"/>
    </row>
    <row r="698" spans="2:34" x14ac:dyDescent="0.3">
      <c r="B698" s="58"/>
      <c r="C698" s="58"/>
      <c r="AD698" s="58"/>
      <c r="AF698" s="58"/>
      <c r="AG698" s="58"/>
      <c r="AH698" s="58"/>
    </row>
    <row r="699" spans="2:34" x14ac:dyDescent="0.3">
      <c r="B699" s="58"/>
      <c r="C699" s="58"/>
      <c r="AD699" s="58"/>
      <c r="AF699" s="58"/>
      <c r="AG699" s="58"/>
      <c r="AH699" s="58"/>
    </row>
    <row r="700" spans="2:34" x14ac:dyDescent="0.3">
      <c r="B700" s="58"/>
      <c r="C700" s="58"/>
      <c r="AD700" s="58"/>
      <c r="AF700" s="58"/>
      <c r="AG700" s="58"/>
      <c r="AH700" s="58"/>
    </row>
    <row r="701" spans="2:34" x14ac:dyDescent="0.3">
      <c r="B701" s="58"/>
      <c r="C701" s="58"/>
      <c r="AD701" s="58"/>
      <c r="AF701" s="58"/>
      <c r="AG701" s="58"/>
      <c r="AH701" s="58"/>
    </row>
    <row r="702" spans="2:34" x14ac:dyDescent="0.3">
      <c r="B702" s="58"/>
      <c r="C702" s="58"/>
      <c r="AD702" s="58"/>
      <c r="AF702" s="58"/>
      <c r="AG702" s="58"/>
      <c r="AH702" s="58"/>
    </row>
    <row r="703" spans="2:34" x14ac:dyDescent="0.3">
      <c r="B703" s="58"/>
      <c r="C703" s="58"/>
      <c r="AD703" s="58"/>
      <c r="AF703" s="58"/>
      <c r="AG703" s="58"/>
      <c r="AH703" s="58"/>
    </row>
    <row r="704" spans="2:34" x14ac:dyDescent="0.3">
      <c r="B704" s="58"/>
      <c r="C704" s="58"/>
      <c r="AD704" s="58"/>
      <c r="AF704" s="58"/>
      <c r="AG704" s="58"/>
      <c r="AH704" s="58"/>
    </row>
    <row r="705" spans="2:34" x14ac:dyDescent="0.3">
      <c r="B705" s="58"/>
      <c r="C705" s="58"/>
      <c r="AD705" s="58"/>
      <c r="AF705" s="58"/>
      <c r="AG705" s="58"/>
      <c r="AH705" s="58"/>
    </row>
    <row r="706" spans="2:34" x14ac:dyDescent="0.3">
      <c r="B706" s="58"/>
      <c r="C706" s="58"/>
      <c r="AD706" s="58"/>
      <c r="AF706" s="58"/>
      <c r="AG706" s="58"/>
      <c r="AH706" s="58"/>
    </row>
    <row r="707" spans="2:34" x14ac:dyDescent="0.3">
      <c r="B707" s="58"/>
      <c r="C707" s="58"/>
      <c r="AD707" s="58"/>
      <c r="AF707" s="58"/>
      <c r="AG707" s="58"/>
      <c r="AH707" s="58"/>
    </row>
    <row r="708" spans="2:34" x14ac:dyDescent="0.3">
      <c r="B708" s="58"/>
      <c r="C708" s="58"/>
      <c r="AD708" s="58"/>
      <c r="AF708" s="58"/>
      <c r="AG708" s="58"/>
      <c r="AH708" s="58"/>
    </row>
    <row r="709" spans="2:34" x14ac:dyDescent="0.3">
      <c r="B709" s="58"/>
      <c r="C709" s="58"/>
      <c r="AD709" s="58"/>
      <c r="AF709" s="58"/>
      <c r="AG709" s="58"/>
      <c r="AH709" s="58"/>
    </row>
    <row r="710" spans="2:34" x14ac:dyDescent="0.3">
      <c r="B710" s="58"/>
      <c r="C710" s="58"/>
      <c r="AD710" s="58"/>
      <c r="AF710" s="58"/>
      <c r="AG710" s="58"/>
      <c r="AH710" s="58"/>
    </row>
    <row r="711" spans="2:34" x14ac:dyDescent="0.3">
      <c r="B711" s="58"/>
      <c r="C711" s="58"/>
      <c r="AD711" s="58"/>
      <c r="AF711" s="58"/>
      <c r="AG711" s="58"/>
      <c r="AH711" s="58"/>
    </row>
    <row r="712" spans="2:34" x14ac:dyDescent="0.3">
      <c r="B712" s="58"/>
      <c r="C712" s="58"/>
      <c r="AD712" s="58"/>
      <c r="AF712" s="58"/>
      <c r="AG712" s="58"/>
      <c r="AH712" s="58"/>
    </row>
    <row r="713" spans="2:34" x14ac:dyDescent="0.3">
      <c r="B713" s="58"/>
      <c r="C713" s="58"/>
      <c r="AD713" s="58"/>
      <c r="AF713" s="58"/>
      <c r="AG713" s="58"/>
      <c r="AH713" s="58"/>
    </row>
    <row r="714" spans="2:34" x14ac:dyDescent="0.3">
      <c r="B714" s="58"/>
      <c r="C714" s="58"/>
      <c r="AD714" s="58"/>
      <c r="AF714" s="58"/>
      <c r="AG714" s="58"/>
      <c r="AH714" s="58"/>
    </row>
    <row r="715" spans="2:34" x14ac:dyDescent="0.3">
      <c r="B715" s="58"/>
      <c r="C715" s="58"/>
      <c r="AD715" s="58"/>
      <c r="AF715" s="58"/>
      <c r="AG715" s="58"/>
      <c r="AH715" s="58"/>
    </row>
    <row r="716" spans="2:34" x14ac:dyDescent="0.3">
      <c r="B716" s="58"/>
      <c r="C716" s="58"/>
      <c r="AD716" s="58"/>
      <c r="AF716" s="58"/>
      <c r="AG716" s="58"/>
      <c r="AH716" s="58"/>
    </row>
    <row r="717" spans="2:34" x14ac:dyDescent="0.3">
      <c r="B717" s="58"/>
      <c r="C717" s="58"/>
      <c r="AD717" s="58"/>
      <c r="AF717" s="58"/>
      <c r="AG717" s="58"/>
      <c r="AH717" s="58"/>
    </row>
    <row r="718" spans="2:34" x14ac:dyDescent="0.3">
      <c r="B718" s="58"/>
      <c r="C718" s="58"/>
      <c r="AD718" s="58"/>
      <c r="AF718" s="58"/>
      <c r="AG718" s="58"/>
      <c r="AH718" s="58"/>
    </row>
    <row r="719" spans="2:34" x14ac:dyDescent="0.3">
      <c r="B719" s="58"/>
      <c r="C719" s="58"/>
      <c r="AD719" s="58"/>
      <c r="AF719" s="58"/>
      <c r="AG719" s="58"/>
      <c r="AH719" s="58"/>
    </row>
    <row r="720" spans="2:34" x14ac:dyDescent="0.3">
      <c r="B720" s="58"/>
      <c r="C720" s="58"/>
      <c r="AD720" s="58"/>
      <c r="AF720" s="58"/>
      <c r="AG720" s="58"/>
      <c r="AH720" s="58"/>
    </row>
    <row r="721" spans="2:34" x14ac:dyDescent="0.3">
      <c r="B721" s="58"/>
      <c r="C721" s="58"/>
      <c r="AD721" s="58"/>
      <c r="AF721" s="58"/>
      <c r="AG721" s="58"/>
      <c r="AH721" s="58"/>
    </row>
    <row r="722" spans="2:34" x14ac:dyDescent="0.3">
      <c r="B722" s="58"/>
      <c r="C722" s="58"/>
      <c r="AD722" s="58"/>
      <c r="AF722" s="58"/>
      <c r="AG722" s="58"/>
      <c r="AH722" s="58"/>
    </row>
    <row r="723" spans="2:34" x14ac:dyDescent="0.3">
      <c r="B723" s="58"/>
      <c r="C723" s="58"/>
      <c r="AD723" s="58"/>
      <c r="AF723" s="58"/>
      <c r="AG723" s="58"/>
      <c r="AH723" s="58"/>
    </row>
    <row r="724" spans="2:34" x14ac:dyDescent="0.3">
      <c r="B724" s="58"/>
      <c r="C724" s="58"/>
      <c r="AD724" s="58"/>
      <c r="AF724" s="58"/>
      <c r="AG724" s="58"/>
      <c r="AH724" s="58"/>
    </row>
    <row r="725" spans="2:34" x14ac:dyDescent="0.3">
      <c r="B725" s="58"/>
      <c r="C725" s="58"/>
      <c r="AD725" s="58"/>
      <c r="AF725" s="58"/>
      <c r="AG725" s="58"/>
      <c r="AH725" s="58"/>
    </row>
    <row r="726" spans="2:34" x14ac:dyDescent="0.3">
      <c r="B726" s="58"/>
      <c r="C726" s="58"/>
      <c r="AD726" s="58"/>
      <c r="AF726" s="58"/>
      <c r="AG726" s="58"/>
      <c r="AH726" s="58"/>
    </row>
    <row r="727" spans="2:34" x14ac:dyDescent="0.3">
      <c r="B727" s="58"/>
      <c r="C727" s="58"/>
      <c r="AD727" s="58"/>
      <c r="AF727" s="58"/>
      <c r="AG727" s="58"/>
      <c r="AH727" s="58"/>
    </row>
    <row r="728" spans="2:34" x14ac:dyDescent="0.3">
      <c r="B728" s="58"/>
      <c r="C728" s="58"/>
      <c r="AD728" s="58"/>
      <c r="AF728" s="58"/>
      <c r="AG728" s="58"/>
      <c r="AH728" s="58"/>
    </row>
    <row r="729" spans="2:34" x14ac:dyDescent="0.3">
      <c r="B729" s="58"/>
      <c r="C729" s="58"/>
      <c r="AD729" s="58"/>
      <c r="AF729" s="58"/>
      <c r="AG729" s="58"/>
      <c r="AH729" s="58"/>
    </row>
    <row r="730" spans="2:34" x14ac:dyDescent="0.3">
      <c r="B730" s="58"/>
      <c r="C730" s="58"/>
      <c r="AD730" s="58"/>
      <c r="AF730" s="58"/>
      <c r="AG730" s="58"/>
      <c r="AH730" s="58"/>
    </row>
    <row r="731" spans="2:34" x14ac:dyDescent="0.3">
      <c r="B731" s="58"/>
      <c r="C731" s="58"/>
      <c r="AD731" s="58"/>
      <c r="AF731" s="58"/>
      <c r="AG731" s="58"/>
      <c r="AH731" s="58"/>
    </row>
    <row r="732" spans="2:34" x14ac:dyDescent="0.3">
      <c r="B732" s="58"/>
      <c r="C732" s="58"/>
      <c r="AD732" s="58"/>
      <c r="AF732" s="58"/>
      <c r="AG732" s="58"/>
      <c r="AH732" s="58"/>
    </row>
    <row r="733" spans="2:34" x14ac:dyDescent="0.3">
      <c r="B733" s="58"/>
      <c r="C733" s="58"/>
      <c r="AD733" s="58"/>
      <c r="AF733" s="58"/>
      <c r="AG733" s="58"/>
      <c r="AH733" s="58"/>
    </row>
    <row r="734" spans="2:34" x14ac:dyDescent="0.3">
      <c r="B734" s="58"/>
      <c r="C734" s="58"/>
      <c r="AD734" s="58"/>
      <c r="AF734" s="58"/>
      <c r="AG734" s="58"/>
      <c r="AH734" s="58"/>
    </row>
    <row r="735" spans="2:34" x14ac:dyDescent="0.3">
      <c r="B735" s="58"/>
      <c r="C735" s="58"/>
      <c r="AD735" s="58"/>
      <c r="AF735" s="58"/>
      <c r="AG735" s="58"/>
      <c r="AH735" s="58"/>
    </row>
    <row r="736" spans="2:34" x14ac:dyDescent="0.3">
      <c r="B736" s="58"/>
      <c r="C736" s="58"/>
      <c r="AD736" s="58"/>
      <c r="AF736" s="58"/>
      <c r="AG736" s="58"/>
      <c r="AH736" s="58"/>
    </row>
    <row r="737" spans="2:34" x14ac:dyDescent="0.3">
      <c r="B737" s="58"/>
      <c r="C737" s="58"/>
      <c r="AD737" s="58"/>
      <c r="AF737" s="58"/>
      <c r="AG737" s="58"/>
      <c r="AH737" s="58"/>
    </row>
    <row r="738" spans="2:34" x14ac:dyDescent="0.3">
      <c r="B738" s="58"/>
      <c r="C738" s="58"/>
      <c r="AD738" s="58"/>
      <c r="AF738" s="58"/>
      <c r="AG738" s="58"/>
      <c r="AH738" s="58"/>
    </row>
    <row r="739" spans="2:34" x14ac:dyDescent="0.3">
      <c r="B739" s="58"/>
      <c r="C739" s="58"/>
      <c r="AD739" s="58"/>
      <c r="AF739" s="58"/>
      <c r="AG739" s="58"/>
      <c r="AH739" s="58"/>
    </row>
    <row r="740" spans="2:34" x14ac:dyDescent="0.3">
      <c r="B740" s="58"/>
      <c r="C740" s="58"/>
      <c r="AD740" s="58"/>
      <c r="AF740" s="58"/>
      <c r="AG740" s="58"/>
      <c r="AH740" s="58"/>
    </row>
    <row r="741" spans="2:34" x14ac:dyDescent="0.3">
      <c r="B741" s="58"/>
      <c r="C741" s="58"/>
      <c r="AD741" s="58"/>
      <c r="AF741" s="58"/>
      <c r="AG741" s="58"/>
      <c r="AH741" s="58"/>
    </row>
    <row r="742" spans="2:34" x14ac:dyDescent="0.3">
      <c r="B742" s="58"/>
      <c r="C742" s="58"/>
      <c r="AD742" s="58"/>
      <c r="AF742" s="58"/>
      <c r="AG742" s="58"/>
      <c r="AH742" s="58"/>
    </row>
    <row r="743" spans="2:34" x14ac:dyDescent="0.3">
      <c r="B743" s="58"/>
      <c r="C743" s="58"/>
      <c r="AD743" s="58"/>
      <c r="AF743" s="58"/>
      <c r="AG743" s="58"/>
      <c r="AH743" s="58"/>
    </row>
    <row r="744" spans="2:34" x14ac:dyDescent="0.3">
      <c r="B744" s="58"/>
      <c r="C744" s="58"/>
      <c r="AD744" s="58"/>
      <c r="AF744" s="58"/>
      <c r="AG744" s="58"/>
      <c r="AH744" s="58"/>
    </row>
    <row r="745" spans="2:34" x14ac:dyDescent="0.3">
      <c r="B745" s="58"/>
      <c r="C745" s="58"/>
      <c r="AD745" s="58"/>
      <c r="AF745" s="58"/>
      <c r="AG745" s="58"/>
      <c r="AH745" s="58"/>
    </row>
    <row r="746" spans="2:34" x14ac:dyDescent="0.3">
      <c r="B746" s="58"/>
      <c r="C746" s="58"/>
      <c r="AD746" s="58"/>
      <c r="AF746" s="58"/>
      <c r="AG746" s="58"/>
      <c r="AH746" s="58"/>
    </row>
    <row r="747" spans="2:34" x14ac:dyDescent="0.3">
      <c r="B747" s="58"/>
      <c r="C747" s="58"/>
      <c r="AD747" s="58"/>
      <c r="AF747" s="58"/>
      <c r="AG747" s="58"/>
      <c r="AH747" s="58"/>
    </row>
    <row r="748" spans="2:34" x14ac:dyDescent="0.3">
      <c r="B748" s="58"/>
      <c r="C748" s="58"/>
      <c r="AD748" s="58"/>
      <c r="AF748" s="58"/>
      <c r="AG748" s="58"/>
      <c r="AH748" s="58"/>
    </row>
    <row r="749" spans="2:34" x14ac:dyDescent="0.3">
      <c r="B749" s="58"/>
      <c r="C749" s="58"/>
      <c r="AD749" s="58"/>
      <c r="AF749" s="58"/>
      <c r="AG749" s="58"/>
      <c r="AH749" s="58"/>
    </row>
    <row r="750" spans="2:34" x14ac:dyDescent="0.3">
      <c r="B750" s="58"/>
      <c r="C750" s="58"/>
      <c r="AD750" s="58"/>
      <c r="AF750" s="58"/>
      <c r="AG750" s="58"/>
      <c r="AH750" s="58"/>
    </row>
    <row r="751" spans="2:34" x14ac:dyDescent="0.3">
      <c r="B751" s="58"/>
      <c r="C751" s="58"/>
      <c r="AD751" s="58"/>
      <c r="AF751" s="58"/>
      <c r="AG751" s="58"/>
      <c r="AH751" s="58"/>
    </row>
    <row r="752" spans="2:34" x14ac:dyDescent="0.3">
      <c r="B752" s="58"/>
      <c r="C752" s="58"/>
      <c r="AD752" s="58"/>
      <c r="AF752" s="58"/>
      <c r="AG752" s="58"/>
      <c r="AH752" s="58"/>
    </row>
    <row r="753" spans="2:34" x14ac:dyDescent="0.3">
      <c r="B753" s="58"/>
      <c r="C753" s="58"/>
      <c r="AD753" s="58"/>
      <c r="AF753" s="58"/>
      <c r="AG753" s="58"/>
      <c r="AH753" s="58"/>
    </row>
    <row r="754" spans="2:34" x14ac:dyDescent="0.3">
      <c r="B754" s="58"/>
      <c r="C754" s="58"/>
      <c r="AD754" s="58"/>
      <c r="AF754" s="58"/>
      <c r="AG754" s="58"/>
      <c r="AH754" s="58"/>
    </row>
    <row r="755" spans="2:34" x14ac:dyDescent="0.3">
      <c r="B755" s="58"/>
      <c r="C755" s="58"/>
      <c r="AD755" s="58"/>
      <c r="AF755" s="58"/>
      <c r="AG755" s="58"/>
      <c r="AH755" s="58"/>
    </row>
    <row r="756" spans="2:34" x14ac:dyDescent="0.3">
      <c r="B756" s="58"/>
      <c r="C756" s="58"/>
      <c r="AD756" s="58"/>
      <c r="AF756" s="58"/>
      <c r="AG756" s="58"/>
      <c r="AH756" s="58"/>
    </row>
    <row r="757" spans="2:34" x14ac:dyDescent="0.3">
      <c r="B757" s="58"/>
      <c r="C757" s="58"/>
      <c r="AD757" s="58"/>
      <c r="AF757" s="58"/>
      <c r="AG757" s="58"/>
      <c r="AH757" s="58"/>
    </row>
    <row r="758" spans="2:34" x14ac:dyDescent="0.3">
      <c r="B758" s="58"/>
      <c r="C758" s="58"/>
      <c r="AD758" s="58"/>
      <c r="AF758" s="58"/>
      <c r="AG758" s="58"/>
      <c r="AH758" s="58"/>
    </row>
    <row r="759" spans="2:34" x14ac:dyDescent="0.3">
      <c r="B759" s="58"/>
      <c r="C759" s="58"/>
      <c r="AD759" s="58"/>
      <c r="AF759" s="58"/>
      <c r="AG759" s="58"/>
      <c r="AH759" s="58"/>
    </row>
    <row r="760" spans="2:34" x14ac:dyDescent="0.3">
      <c r="B760" s="58"/>
      <c r="C760" s="58"/>
      <c r="AD760" s="58"/>
      <c r="AF760" s="58"/>
      <c r="AG760" s="58"/>
      <c r="AH760" s="58"/>
    </row>
    <row r="761" spans="2:34" x14ac:dyDescent="0.3">
      <c r="B761" s="58"/>
      <c r="C761" s="58"/>
      <c r="AD761" s="58"/>
      <c r="AF761" s="58"/>
      <c r="AG761" s="58"/>
      <c r="AH761" s="58"/>
    </row>
    <row r="762" spans="2:34" x14ac:dyDescent="0.3">
      <c r="B762" s="58"/>
      <c r="C762" s="58"/>
      <c r="AD762" s="58"/>
      <c r="AF762" s="58"/>
      <c r="AG762" s="58"/>
      <c r="AH762" s="58"/>
    </row>
    <row r="763" spans="2:34" x14ac:dyDescent="0.3">
      <c r="B763" s="58"/>
      <c r="C763" s="58"/>
      <c r="AD763" s="58"/>
      <c r="AF763" s="58"/>
      <c r="AG763" s="58"/>
      <c r="AH763" s="58"/>
    </row>
    <row r="764" spans="2:34" x14ac:dyDescent="0.3">
      <c r="B764" s="58"/>
      <c r="C764" s="58"/>
      <c r="AD764" s="58"/>
      <c r="AF764" s="58"/>
      <c r="AG764" s="58"/>
      <c r="AH764" s="58"/>
    </row>
    <row r="765" spans="2:34" x14ac:dyDescent="0.3">
      <c r="B765" s="58"/>
      <c r="C765" s="58"/>
      <c r="AD765" s="58"/>
      <c r="AF765" s="58"/>
      <c r="AG765" s="58"/>
      <c r="AH765" s="58"/>
    </row>
    <row r="766" spans="2:34" x14ac:dyDescent="0.3">
      <c r="B766" s="58"/>
      <c r="C766" s="58"/>
      <c r="AD766" s="58"/>
      <c r="AF766" s="58"/>
      <c r="AG766" s="58"/>
      <c r="AH766" s="58"/>
    </row>
    <row r="767" spans="2:34" x14ac:dyDescent="0.3">
      <c r="B767" s="58"/>
      <c r="C767" s="58"/>
      <c r="AD767" s="58"/>
      <c r="AF767" s="58"/>
      <c r="AG767" s="58"/>
      <c r="AH767" s="58"/>
    </row>
    <row r="768" spans="2:34" x14ac:dyDescent="0.3">
      <c r="B768" s="58"/>
      <c r="C768" s="58"/>
      <c r="AD768" s="58"/>
      <c r="AF768" s="58"/>
      <c r="AG768" s="58"/>
      <c r="AH768" s="58"/>
    </row>
    <row r="769" spans="2:34" x14ac:dyDescent="0.3">
      <c r="B769" s="58"/>
      <c r="C769" s="58"/>
      <c r="AD769" s="58"/>
      <c r="AF769" s="58"/>
      <c r="AG769" s="58"/>
      <c r="AH769" s="58"/>
    </row>
    <row r="770" spans="2:34" x14ac:dyDescent="0.3">
      <c r="B770" s="58"/>
      <c r="C770" s="58"/>
      <c r="AD770" s="58"/>
      <c r="AF770" s="58"/>
      <c r="AG770" s="58"/>
      <c r="AH770" s="58"/>
    </row>
    <row r="771" spans="2:34" x14ac:dyDescent="0.3">
      <c r="B771" s="58"/>
      <c r="C771" s="58"/>
      <c r="AD771" s="58"/>
      <c r="AF771" s="58"/>
      <c r="AG771" s="58"/>
      <c r="AH771" s="58"/>
    </row>
    <row r="772" spans="2:34" x14ac:dyDescent="0.3">
      <c r="B772" s="58"/>
      <c r="C772" s="58"/>
      <c r="AD772" s="58"/>
      <c r="AF772" s="58"/>
      <c r="AG772" s="58"/>
      <c r="AH772" s="58"/>
    </row>
    <row r="773" spans="2:34" x14ac:dyDescent="0.3">
      <c r="B773" s="58"/>
      <c r="C773" s="58"/>
      <c r="AD773" s="58"/>
      <c r="AF773" s="58"/>
      <c r="AG773" s="58"/>
      <c r="AH773" s="58"/>
    </row>
    <row r="774" spans="2:34" x14ac:dyDescent="0.3">
      <c r="B774" s="58"/>
      <c r="C774" s="58"/>
      <c r="AD774" s="58"/>
      <c r="AF774" s="58"/>
      <c r="AG774" s="58"/>
      <c r="AH774" s="58"/>
    </row>
    <row r="775" spans="2:34" x14ac:dyDescent="0.3">
      <c r="B775" s="58"/>
      <c r="C775" s="58"/>
      <c r="AD775" s="58"/>
      <c r="AF775" s="58"/>
      <c r="AG775" s="58"/>
      <c r="AH775" s="58"/>
    </row>
    <row r="776" spans="2:34" x14ac:dyDescent="0.3">
      <c r="B776" s="58"/>
      <c r="C776" s="58"/>
      <c r="AD776" s="58"/>
      <c r="AF776" s="58"/>
      <c r="AG776" s="58"/>
      <c r="AH776" s="58"/>
    </row>
    <row r="777" spans="2:34" x14ac:dyDescent="0.3">
      <c r="B777" s="58"/>
      <c r="C777" s="58"/>
      <c r="AD777" s="58"/>
      <c r="AF777" s="58"/>
      <c r="AG777" s="58"/>
      <c r="AH777" s="58"/>
    </row>
    <row r="778" spans="2:34" x14ac:dyDescent="0.3">
      <c r="B778" s="58"/>
      <c r="C778" s="58"/>
      <c r="AD778" s="58"/>
      <c r="AF778" s="58"/>
      <c r="AG778" s="58"/>
      <c r="AH778" s="58"/>
    </row>
    <row r="779" spans="2:34" x14ac:dyDescent="0.3">
      <c r="B779" s="58"/>
      <c r="C779" s="58"/>
      <c r="AD779" s="58"/>
      <c r="AF779" s="58"/>
      <c r="AG779" s="58"/>
      <c r="AH779" s="58"/>
    </row>
    <row r="780" spans="2:34" x14ac:dyDescent="0.3">
      <c r="B780" s="58"/>
      <c r="C780" s="58"/>
      <c r="AD780" s="58"/>
      <c r="AF780" s="58"/>
      <c r="AG780" s="58"/>
      <c r="AH780" s="58"/>
    </row>
    <row r="781" spans="2:34" x14ac:dyDescent="0.3">
      <c r="B781" s="58"/>
      <c r="C781" s="58"/>
      <c r="AD781" s="58"/>
      <c r="AF781" s="58"/>
      <c r="AG781" s="58"/>
      <c r="AH781" s="58"/>
    </row>
    <row r="782" spans="2:34" x14ac:dyDescent="0.3">
      <c r="B782" s="58"/>
      <c r="C782" s="58"/>
      <c r="AD782" s="58"/>
      <c r="AF782" s="58"/>
      <c r="AG782" s="58"/>
      <c r="AH782" s="58"/>
    </row>
    <row r="783" spans="2:34" x14ac:dyDescent="0.3">
      <c r="B783" s="58"/>
      <c r="C783" s="58"/>
      <c r="AD783" s="58"/>
      <c r="AF783" s="58"/>
      <c r="AG783" s="58"/>
      <c r="AH783" s="58"/>
    </row>
    <row r="784" spans="2:34" x14ac:dyDescent="0.3">
      <c r="B784" s="58"/>
      <c r="C784" s="58"/>
      <c r="AD784" s="58"/>
      <c r="AF784" s="58"/>
      <c r="AG784" s="58"/>
      <c r="AH784" s="58"/>
    </row>
    <row r="785" spans="2:34" x14ac:dyDescent="0.3">
      <c r="B785" s="58"/>
      <c r="C785" s="58"/>
      <c r="AD785" s="58"/>
      <c r="AF785" s="58"/>
      <c r="AG785" s="58"/>
      <c r="AH785" s="58"/>
    </row>
    <row r="786" spans="2:34" x14ac:dyDescent="0.3">
      <c r="B786" s="58"/>
      <c r="C786" s="58"/>
      <c r="AD786" s="58"/>
      <c r="AF786" s="58"/>
      <c r="AG786" s="58"/>
      <c r="AH786" s="58"/>
    </row>
    <row r="787" spans="2:34" x14ac:dyDescent="0.3">
      <c r="B787" s="58"/>
      <c r="C787" s="58"/>
      <c r="AD787" s="58"/>
      <c r="AF787" s="58"/>
      <c r="AG787" s="58"/>
      <c r="AH787" s="58"/>
    </row>
    <row r="788" spans="2:34" x14ac:dyDescent="0.3">
      <c r="B788" s="58"/>
      <c r="C788" s="58"/>
      <c r="AD788" s="58"/>
      <c r="AF788" s="58"/>
      <c r="AG788" s="58"/>
      <c r="AH788" s="58"/>
    </row>
    <row r="789" spans="2:34" x14ac:dyDescent="0.3">
      <c r="B789" s="58"/>
      <c r="C789" s="58"/>
      <c r="AD789" s="58"/>
      <c r="AF789" s="58"/>
      <c r="AG789" s="58"/>
      <c r="AH789" s="58"/>
    </row>
    <row r="790" spans="2:34" x14ac:dyDescent="0.3">
      <c r="B790" s="58"/>
      <c r="C790" s="58"/>
      <c r="AD790" s="58"/>
      <c r="AF790" s="58"/>
      <c r="AG790" s="58"/>
      <c r="AH790" s="58"/>
    </row>
    <row r="791" spans="2:34" x14ac:dyDescent="0.3">
      <c r="B791" s="58"/>
      <c r="C791" s="58"/>
      <c r="AD791" s="58"/>
      <c r="AF791" s="58"/>
      <c r="AG791" s="58"/>
      <c r="AH791" s="58"/>
    </row>
    <row r="792" spans="2:34" x14ac:dyDescent="0.3">
      <c r="B792" s="58"/>
      <c r="C792" s="58"/>
      <c r="AD792" s="58"/>
      <c r="AF792" s="58"/>
      <c r="AG792" s="58"/>
      <c r="AH792" s="58"/>
    </row>
    <row r="793" spans="2:34" x14ac:dyDescent="0.3">
      <c r="B793" s="58"/>
      <c r="C793" s="58"/>
      <c r="AD793" s="58"/>
      <c r="AF793" s="58"/>
      <c r="AG793" s="58"/>
      <c r="AH793" s="58"/>
    </row>
    <row r="794" spans="2:34" x14ac:dyDescent="0.3">
      <c r="B794" s="58"/>
      <c r="C794" s="58"/>
      <c r="AD794" s="58"/>
      <c r="AF794" s="58"/>
      <c r="AG794" s="58"/>
      <c r="AH794" s="58"/>
    </row>
    <row r="795" spans="2:34" x14ac:dyDescent="0.3">
      <c r="B795" s="58"/>
      <c r="C795" s="58"/>
      <c r="AD795" s="58"/>
      <c r="AF795" s="58"/>
      <c r="AG795" s="58"/>
      <c r="AH795" s="58"/>
    </row>
    <row r="796" spans="2:34" x14ac:dyDescent="0.3">
      <c r="B796" s="58"/>
      <c r="C796" s="58"/>
      <c r="AD796" s="58"/>
      <c r="AF796" s="58"/>
      <c r="AG796" s="58"/>
      <c r="AH796" s="58"/>
    </row>
    <row r="797" spans="2:34" x14ac:dyDescent="0.3">
      <c r="B797" s="58"/>
      <c r="C797" s="58"/>
      <c r="AD797" s="58"/>
      <c r="AF797" s="58"/>
      <c r="AG797" s="58"/>
      <c r="AH797" s="58"/>
    </row>
    <row r="798" spans="2:34" x14ac:dyDescent="0.3">
      <c r="B798" s="58"/>
      <c r="C798" s="58"/>
      <c r="AD798" s="58"/>
      <c r="AF798" s="58"/>
      <c r="AG798" s="58"/>
      <c r="AH798" s="58"/>
    </row>
    <row r="799" spans="2:34" x14ac:dyDescent="0.3">
      <c r="B799" s="58"/>
      <c r="C799" s="58"/>
      <c r="AD799" s="58"/>
      <c r="AF799" s="58"/>
      <c r="AG799" s="58"/>
      <c r="AH799" s="58"/>
    </row>
    <row r="800" spans="2:34" x14ac:dyDescent="0.3">
      <c r="B800" s="58"/>
      <c r="C800" s="58"/>
      <c r="AD800" s="58"/>
      <c r="AF800" s="58"/>
      <c r="AG800" s="58"/>
      <c r="AH800" s="58"/>
    </row>
    <row r="801" spans="2:34" x14ac:dyDescent="0.3">
      <c r="B801" s="58"/>
      <c r="C801" s="58"/>
      <c r="AD801" s="58"/>
      <c r="AF801" s="58"/>
      <c r="AG801" s="58"/>
      <c r="AH801" s="58"/>
    </row>
    <row r="802" spans="2:34" x14ac:dyDescent="0.3">
      <c r="B802" s="58"/>
      <c r="C802" s="58"/>
      <c r="AD802" s="58"/>
      <c r="AF802" s="58"/>
      <c r="AG802" s="58"/>
      <c r="AH802" s="58"/>
    </row>
    <row r="803" spans="2:34" x14ac:dyDescent="0.3">
      <c r="B803" s="58"/>
      <c r="C803" s="58"/>
      <c r="AD803" s="58"/>
      <c r="AF803" s="58"/>
      <c r="AG803" s="58"/>
      <c r="AH803" s="58"/>
    </row>
    <row r="804" spans="2:34" x14ac:dyDescent="0.3">
      <c r="B804" s="58"/>
      <c r="C804" s="58"/>
      <c r="AD804" s="58"/>
      <c r="AF804" s="58"/>
      <c r="AG804" s="58"/>
      <c r="AH804" s="58"/>
    </row>
    <row r="805" spans="2:34" x14ac:dyDescent="0.3">
      <c r="B805" s="58"/>
      <c r="C805" s="58"/>
      <c r="AD805" s="58"/>
      <c r="AF805" s="58"/>
      <c r="AG805" s="58"/>
      <c r="AH805" s="58"/>
    </row>
    <row r="806" spans="2:34" x14ac:dyDescent="0.3">
      <c r="B806" s="58"/>
      <c r="C806" s="58"/>
      <c r="AD806" s="58"/>
      <c r="AF806" s="58"/>
      <c r="AG806" s="58"/>
      <c r="AH806" s="58"/>
    </row>
    <row r="807" spans="2:34" x14ac:dyDescent="0.3">
      <c r="B807" s="58"/>
      <c r="C807" s="58"/>
      <c r="AD807" s="58"/>
      <c r="AF807" s="58"/>
      <c r="AG807" s="58"/>
      <c r="AH807" s="58"/>
    </row>
    <row r="808" spans="2:34" x14ac:dyDescent="0.3">
      <c r="B808" s="58"/>
      <c r="C808" s="58"/>
      <c r="AD808" s="58"/>
      <c r="AF808" s="58"/>
      <c r="AG808" s="58"/>
      <c r="AH808" s="58"/>
    </row>
    <row r="809" spans="2:34" x14ac:dyDescent="0.3">
      <c r="B809" s="58"/>
      <c r="C809" s="58"/>
      <c r="AD809" s="58"/>
      <c r="AF809" s="58"/>
      <c r="AG809" s="58"/>
      <c r="AH809" s="58"/>
    </row>
    <row r="810" spans="2:34" x14ac:dyDescent="0.3">
      <c r="B810" s="58"/>
      <c r="C810" s="58"/>
      <c r="AD810" s="58"/>
      <c r="AF810" s="58"/>
      <c r="AG810" s="58"/>
      <c r="AH810" s="58"/>
    </row>
    <row r="811" spans="2:34" x14ac:dyDescent="0.3">
      <c r="B811" s="58"/>
      <c r="C811" s="58"/>
      <c r="AD811" s="58"/>
      <c r="AF811" s="58"/>
      <c r="AG811" s="58"/>
      <c r="AH811" s="58"/>
    </row>
    <row r="812" spans="2:34" x14ac:dyDescent="0.3">
      <c r="B812" s="58"/>
      <c r="C812" s="58"/>
      <c r="AD812" s="58"/>
      <c r="AF812" s="58"/>
      <c r="AG812" s="58"/>
      <c r="AH812" s="58"/>
    </row>
    <row r="813" spans="2:34" x14ac:dyDescent="0.3">
      <c r="B813" s="58"/>
      <c r="C813" s="58"/>
      <c r="AD813" s="58"/>
      <c r="AF813" s="58"/>
      <c r="AG813" s="58"/>
      <c r="AH813" s="58"/>
    </row>
    <row r="814" spans="2:34" x14ac:dyDescent="0.3">
      <c r="B814" s="58"/>
      <c r="C814" s="58"/>
      <c r="AD814" s="58"/>
      <c r="AF814" s="58"/>
      <c r="AG814" s="58"/>
      <c r="AH814" s="58"/>
    </row>
    <row r="815" spans="2:34" x14ac:dyDescent="0.3">
      <c r="B815" s="58"/>
      <c r="C815" s="58"/>
      <c r="AD815" s="58"/>
      <c r="AF815" s="58"/>
      <c r="AG815" s="58"/>
      <c r="AH815" s="58"/>
    </row>
    <row r="816" spans="2:34" x14ac:dyDescent="0.3">
      <c r="B816" s="58"/>
      <c r="C816" s="58"/>
      <c r="AD816" s="58"/>
      <c r="AF816" s="58"/>
      <c r="AG816" s="58"/>
      <c r="AH816" s="58"/>
    </row>
    <row r="817" spans="2:34" x14ac:dyDescent="0.3">
      <c r="B817" s="58"/>
      <c r="C817" s="58"/>
      <c r="AD817" s="58"/>
      <c r="AF817" s="58"/>
      <c r="AG817" s="58"/>
      <c r="AH817" s="58"/>
    </row>
    <row r="818" spans="2:34" x14ac:dyDescent="0.3">
      <c r="B818" s="58"/>
      <c r="C818" s="58"/>
      <c r="AD818" s="58"/>
      <c r="AF818" s="58"/>
      <c r="AG818" s="58"/>
      <c r="AH818" s="58"/>
    </row>
    <row r="819" spans="2:34" x14ac:dyDescent="0.3">
      <c r="B819" s="58"/>
      <c r="C819" s="58"/>
      <c r="AD819" s="58"/>
      <c r="AF819" s="58"/>
      <c r="AG819" s="58"/>
      <c r="AH819" s="58"/>
    </row>
    <row r="820" spans="2:34" x14ac:dyDescent="0.3">
      <c r="B820" s="58"/>
      <c r="C820" s="58"/>
      <c r="AD820" s="58"/>
      <c r="AF820" s="58"/>
      <c r="AG820" s="58"/>
      <c r="AH820" s="58"/>
    </row>
    <row r="821" spans="2:34" x14ac:dyDescent="0.3">
      <c r="B821" s="58"/>
      <c r="C821" s="58"/>
      <c r="AD821" s="58"/>
      <c r="AF821" s="58"/>
      <c r="AG821" s="58"/>
      <c r="AH821" s="58"/>
    </row>
    <row r="822" spans="2:34" x14ac:dyDescent="0.3">
      <c r="B822" s="58"/>
      <c r="C822" s="58"/>
      <c r="AD822" s="58"/>
      <c r="AF822" s="58"/>
      <c r="AG822" s="58"/>
      <c r="AH822" s="58"/>
    </row>
    <row r="823" spans="2:34" x14ac:dyDescent="0.3">
      <c r="B823" s="58"/>
      <c r="C823" s="58"/>
      <c r="AD823" s="58"/>
      <c r="AF823" s="58"/>
      <c r="AG823" s="58"/>
      <c r="AH823" s="58"/>
    </row>
    <row r="824" spans="2:34" x14ac:dyDescent="0.3">
      <c r="B824" s="58"/>
      <c r="C824" s="58"/>
      <c r="AD824" s="58"/>
      <c r="AF824" s="58"/>
      <c r="AG824" s="58"/>
      <c r="AH824" s="58"/>
    </row>
    <row r="825" spans="2:34" x14ac:dyDescent="0.3">
      <c r="B825" s="58"/>
      <c r="C825" s="58"/>
      <c r="AD825" s="58"/>
      <c r="AF825" s="58"/>
      <c r="AG825" s="58"/>
      <c r="AH825" s="58"/>
    </row>
    <row r="826" spans="2:34" x14ac:dyDescent="0.3">
      <c r="B826" s="58"/>
      <c r="C826" s="58"/>
      <c r="AD826" s="58"/>
      <c r="AF826" s="58"/>
      <c r="AG826" s="58"/>
      <c r="AH826" s="58"/>
    </row>
    <row r="827" spans="2:34" x14ac:dyDescent="0.3">
      <c r="B827" s="58"/>
      <c r="C827" s="58"/>
      <c r="AD827" s="58"/>
      <c r="AF827" s="58"/>
      <c r="AG827" s="58"/>
      <c r="AH827" s="58"/>
    </row>
    <row r="828" spans="2:34" x14ac:dyDescent="0.3">
      <c r="B828" s="58"/>
      <c r="C828" s="58"/>
      <c r="AD828" s="58"/>
      <c r="AF828" s="58"/>
      <c r="AG828" s="58"/>
      <c r="AH828" s="58"/>
    </row>
    <row r="829" spans="2:34" x14ac:dyDescent="0.3">
      <c r="B829" s="58"/>
      <c r="C829" s="58"/>
      <c r="AD829" s="58"/>
      <c r="AF829" s="58"/>
      <c r="AG829" s="58"/>
      <c r="AH829" s="58"/>
    </row>
    <row r="830" spans="2:34" x14ac:dyDescent="0.3">
      <c r="B830" s="58"/>
      <c r="C830" s="58"/>
      <c r="AD830" s="58"/>
      <c r="AF830" s="58"/>
      <c r="AG830" s="58"/>
      <c r="AH830" s="58"/>
    </row>
    <row r="831" spans="2:34" x14ac:dyDescent="0.3">
      <c r="B831" s="58"/>
      <c r="C831" s="58"/>
      <c r="AD831" s="58"/>
      <c r="AF831" s="58"/>
      <c r="AG831" s="58"/>
      <c r="AH831" s="58"/>
    </row>
    <row r="832" spans="2:34" x14ac:dyDescent="0.3">
      <c r="B832" s="58"/>
      <c r="C832" s="58"/>
      <c r="AD832" s="58"/>
      <c r="AF832" s="58"/>
      <c r="AG832" s="58"/>
      <c r="AH832" s="58"/>
    </row>
    <row r="833" spans="2:34" x14ac:dyDescent="0.3">
      <c r="B833" s="58"/>
      <c r="C833" s="58"/>
      <c r="AD833" s="58"/>
      <c r="AF833" s="58"/>
      <c r="AG833" s="58"/>
      <c r="AH833" s="58"/>
    </row>
    <row r="834" spans="2:34" x14ac:dyDescent="0.3">
      <c r="B834" s="58"/>
      <c r="C834" s="58"/>
      <c r="AD834" s="58"/>
      <c r="AF834" s="58"/>
      <c r="AG834" s="58"/>
      <c r="AH834" s="58"/>
    </row>
    <row r="835" spans="2:34" x14ac:dyDescent="0.3">
      <c r="B835" s="58"/>
      <c r="C835" s="58"/>
      <c r="AD835" s="58"/>
      <c r="AF835" s="58"/>
      <c r="AG835" s="58"/>
      <c r="AH835" s="58"/>
    </row>
    <row r="836" spans="2:34" x14ac:dyDescent="0.3">
      <c r="B836" s="58"/>
      <c r="C836" s="58"/>
      <c r="AD836" s="58"/>
      <c r="AF836" s="58"/>
      <c r="AG836" s="58"/>
      <c r="AH836" s="58"/>
    </row>
    <row r="837" spans="2:34" x14ac:dyDescent="0.3">
      <c r="B837" s="58"/>
      <c r="C837" s="58"/>
      <c r="AD837" s="58"/>
      <c r="AF837" s="58"/>
      <c r="AG837" s="58"/>
      <c r="AH837" s="58"/>
    </row>
    <row r="838" spans="2:34" x14ac:dyDescent="0.3">
      <c r="B838" s="58"/>
      <c r="C838" s="58"/>
      <c r="AD838" s="58"/>
      <c r="AF838" s="58"/>
      <c r="AG838" s="58"/>
      <c r="AH838" s="58"/>
    </row>
    <row r="839" spans="2:34" x14ac:dyDescent="0.3">
      <c r="B839" s="58"/>
      <c r="C839" s="58"/>
      <c r="AD839" s="58"/>
      <c r="AF839" s="58"/>
      <c r="AG839" s="58"/>
      <c r="AH839" s="58"/>
    </row>
    <row r="840" spans="2:34" x14ac:dyDescent="0.3">
      <c r="B840" s="58"/>
      <c r="C840" s="58"/>
      <c r="AD840" s="58"/>
      <c r="AF840" s="58"/>
      <c r="AG840" s="58"/>
      <c r="AH840" s="58"/>
    </row>
    <row r="841" spans="2:34" x14ac:dyDescent="0.3">
      <c r="B841" s="58"/>
      <c r="C841" s="58"/>
      <c r="AD841" s="58"/>
      <c r="AF841" s="58"/>
      <c r="AG841" s="58"/>
      <c r="AH841" s="58"/>
    </row>
    <row r="842" spans="2:34" x14ac:dyDescent="0.3">
      <c r="B842" s="58"/>
      <c r="C842" s="58"/>
      <c r="AD842" s="58"/>
      <c r="AF842" s="58"/>
      <c r="AG842" s="58"/>
      <c r="AH842" s="58"/>
    </row>
    <row r="843" spans="2:34" x14ac:dyDescent="0.3">
      <c r="B843" s="58"/>
      <c r="C843" s="58"/>
      <c r="AD843" s="58"/>
      <c r="AF843" s="58"/>
      <c r="AG843" s="58"/>
      <c r="AH843" s="58"/>
    </row>
    <row r="844" spans="2:34" x14ac:dyDescent="0.3">
      <c r="B844" s="58"/>
      <c r="C844" s="58"/>
      <c r="AD844" s="58"/>
      <c r="AF844" s="58"/>
      <c r="AG844" s="58"/>
      <c r="AH844" s="58"/>
    </row>
    <row r="845" spans="2:34" x14ac:dyDescent="0.3">
      <c r="B845" s="58"/>
      <c r="C845" s="58"/>
      <c r="AD845" s="58"/>
      <c r="AF845" s="58"/>
      <c r="AG845" s="58"/>
      <c r="AH845" s="58"/>
    </row>
    <row r="846" spans="2:34" x14ac:dyDescent="0.3">
      <c r="B846" s="58"/>
      <c r="C846" s="58"/>
      <c r="AD846" s="58"/>
      <c r="AF846" s="58"/>
      <c r="AG846" s="58"/>
      <c r="AH846" s="58"/>
    </row>
    <row r="847" spans="2:34" x14ac:dyDescent="0.3">
      <c r="B847" s="58"/>
      <c r="C847" s="58"/>
      <c r="AD847" s="58"/>
      <c r="AF847" s="58"/>
      <c r="AG847" s="58"/>
      <c r="AH847" s="58"/>
    </row>
    <row r="848" spans="2:34" x14ac:dyDescent="0.3">
      <c r="B848" s="58"/>
      <c r="C848" s="58"/>
      <c r="AD848" s="58"/>
      <c r="AF848" s="58"/>
      <c r="AG848" s="58"/>
      <c r="AH848" s="58"/>
    </row>
    <row r="849" spans="2:34" x14ac:dyDescent="0.3">
      <c r="B849" s="58"/>
      <c r="C849" s="58"/>
      <c r="AD849" s="58"/>
      <c r="AF849" s="58"/>
      <c r="AG849" s="58"/>
      <c r="AH849" s="58"/>
    </row>
    <row r="850" spans="2:34" x14ac:dyDescent="0.3">
      <c r="B850" s="58"/>
      <c r="C850" s="58"/>
      <c r="AD850" s="58"/>
      <c r="AF850" s="58"/>
      <c r="AG850" s="58"/>
      <c r="AH850" s="58"/>
    </row>
    <row r="851" spans="2:34" x14ac:dyDescent="0.3">
      <c r="B851" s="58"/>
      <c r="C851" s="58"/>
      <c r="AD851" s="58"/>
      <c r="AF851" s="58"/>
      <c r="AG851" s="58"/>
      <c r="AH851" s="58"/>
    </row>
    <row r="852" spans="2:34" x14ac:dyDescent="0.3">
      <c r="B852" s="58"/>
      <c r="C852" s="58"/>
      <c r="AD852" s="58"/>
      <c r="AF852" s="58"/>
      <c r="AG852" s="58"/>
      <c r="AH852" s="58"/>
    </row>
    <row r="853" spans="2:34" x14ac:dyDescent="0.3">
      <c r="B853" s="58"/>
      <c r="C853" s="58"/>
      <c r="AD853" s="58"/>
      <c r="AF853" s="58"/>
      <c r="AG853" s="58"/>
      <c r="AH853" s="58"/>
    </row>
    <row r="854" spans="2:34" x14ac:dyDescent="0.3">
      <c r="B854" s="58"/>
      <c r="C854" s="58"/>
      <c r="AD854" s="58"/>
      <c r="AF854" s="58"/>
      <c r="AG854" s="58"/>
      <c r="AH854" s="58"/>
    </row>
    <row r="855" spans="2:34" x14ac:dyDescent="0.3">
      <c r="B855" s="58"/>
      <c r="C855" s="58"/>
      <c r="AD855" s="58"/>
      <c r="AF855" s="58"/>
      <c r="AG855" s="58"/>
      <c r="AH855" s="58"/>
    </row>
    <row r="856" spans="2:34" x14ac:dyDescent="0.3">
      <c r="B856" s="58"/>
      <c r="C856" s="58"/>
      <c r="AD856" s="58"/>
      <c r="AF856" s="58"/>
      <c r="AG856" s="58"/>
      <c r="AH856" s="58"/>
    </row>
    <row r="857" spans="2:34" x14ac:dyDescent="0.3">
      <c r="B857" s="58"/>
      <c r="C857" s="58"/>
      <c r="AD857" s="58"/>
      <c r="AF857" s="58"/>
      <c r="AG857" s="58"/>
      <c r="AH857" s="58"/>
    </row>
    <row r="858" spans="2:34" x14ac:dyDescent="0.3">
      <c r="B858" s="58"/>
      <c r="C858" s="58"/>
      <c r="AD858" s="58"/>
      <c r="AF858" s="58"/>
      <c r="AG858" s="58"/>
      <c r="AH858" s="58"/>
    </row>
    <row r="859" spans="2:34" x14ac:dyDescent="0.3">
      <c r="B859" s="58"/>
      <c r="C859" s="58"/>
      <c r="AD859" s="58"/>
      <c r="AF859" s="58"/>
      <c r="AG859" s="58"/>
      <c r="AH859" s="58"/>
    </row>
    <row r="860" spans="2:34" x14ac:dyDescent="0.3">
      <c r="B860" s="58"/>
      <c r="C860" s="58"/>
      <c r="AD860" s="58"/>
      <c r="AF860" s="58"/>
      <c r="AG860" s="58"/>
      <c r="AH860" s="58"/>
    </row>
    <row r="861" spans="2:34" x14ac:dyDescent="0.3">
      <c r="B861" s="58"/>
      <c r="C861" s="58"/>
      <c r="AD861" s="58"/>
      <c r="AF861" s="58"/>
      <c r="AG861" s="58"/>
      <c r="AH861" s="58"/>
    </row>
    <row r="862" spans="2:34" x14ac:dyDescent="0.3">
      <c r="B862" s="58"/>
      <c r="C862" s="58"/>
      <c r="AD862" s="58"/>
      <c r="AF862" s="58"/>
      <c r="AG862" s="58"/>
      <c r="AH862" s="58"/>
    </row>
    <row r="863" spans="2:34" x14ac:dyDescent="0.3">
      <c r="B863" s="58"/>
      <c r="C863" s="58"/>
      <c r="AD863" s="58"/>
      <c r="AF863" s="58"/>
      <c r="AG863" s="58"/>
      <c r="AH863" s="58"/>
    </row>
    <row r="864" spans="2:34" x14ac:dyDescent="0.3">
      <c r="B864" s="58"/>
      <c r="C864" s="58"/>
      <c r="AD864" s="58"/>
      <c r="AF864" s="58"/>
      <c r="AG864" s="58"/>
      <c r="AH864" s="58"/>
    </row>
    <row r="865" spans="2:34" x14ac:dyDescent="0.3">
      <c r="B865" s="58"/>
      <c r="C865" s="58"/>
      <c r="AD865" s="58"/>
      <c r="AF865" s="58"/>
      <c r="AG865" s="58"/>
      <c r="AH865" s="58"/>
    </row>
    <row r="866" spans="2:34" x14ac:dyDescent="0.3">
      <c r="B866" s="58"/>
      <c r="C866" s="58"/>
      <c r="AD866" s="58"/>
      <c r="AF866" s="58"/>
      <c r="AG866" s="58"/>
      <c r="AH866" s="58"/>
    </row>
    <row r="867" spans="2:34" x14ac:dyDescent="0.3">
      <c r="B867" s="58"/>
      <c r="C867" s="58"/>
      <c r="AD867" s="58"/>
      <c r="AF867" s="58"/>
      <c r="AG867" s="58"/>
      <c r="AH867" s="58"/>
    </row>
    <row r="868" spans="2:34" x14ac:dyDescent="0.3">
      <c r="B868" s="58"/>
      <c r="C868" s="58"/>
      <c r="AD868" s="58"/>
      <c r="AF868" s="58"/>
      <c r="AG868" s="58"/>
      <c r="AH868" s="58"/>
    </row>
    <row r="869" spans="2:34" x14ac:dyDescent="0.3">
      <c r="B869" s="58"/>
      <c r="C869" s="58"/>
      <c r="AD869" s="58"/>
      <c r="AF869" s="58"/>
      <c r="AG869" s="58"/>
      <c r="AH869" s="58"/>
    </row>
    <row r="870" spans="2:34" x14ac:dyDescent="0.3">
      <c r="B870" s="58"/>
      <c r="C870" s="58"/>
      <c r="AD870" s="58"/>
      <c r="AF870" s="58"/>
      <c r="AG870" s="58"/>
      <c r="AH870" s="58"/>
    </row>
    <row r="871" spans="2:34" x14ac:dyDescent="0.3">
      <c r="B871" s="58"/>
      <c r="C871" s="58"/>
      <c r="AD871" s="58"/>
      <c r="AF871" s="58"/>
      <c r="AG871" s="58"/>
      <c r="AH871" s="58"/>
    </row>
    <row r="872" spans="2:34" x14ac:dyDescent="0.3">
      <c r="B872" s="58"/>
      <c r="C872" s="58"/>
      <c r="AD872" s="58"/>
      <c r="AF872" s="58"/>
      <c r="AG872" s="58"/>
      <c r="AH872" s="58"/>
    </row>
    <row r="873" spans="2:34" x14ac:dyDescent="0.3">
      <c r="B873" s="58"/>
      <c r="C873" s="58"/>
      <c r="AD873" s="58"/>
      <c r="AF873" s="58"/>
      <c r="AG873" s="58"/>
      <c r="AH873" s="58"/>
    </row>
    <row r="874" spans="2:34" x14ac:dyDescent="0.3">
      <c r="B874" s="58"/>
      <c r="C874" s="58"/>
      <c r="AD874" s="58"/>
      <c r="AF874" s="58"/>
      <c r="AG874" s="58"/>
      <c r="AH874" s="58"/>
    </row>
    <row r="875" spans="2:34" x14ac:dyDescent="0.3">
      <c r="B875" s="58"/>
      <c r="C875" s="58"/>
      <c r="AD875" s="58"/>
      <c r="AF875" s="58"/>
      <c r="AG875" s="58"/>
      <c r="AH875" s="58"/>
    </row>
    <row r="876" spans="2:34" x14ac:dyDescent="0.3">
      <c r="B876" s="58"/>
      <c r="C876" s="58"/>
      <c r="AD876" s="58"/>
      <c r="AF876" s="58"/>
      <c r="AG876" s="58"/>
      <c r="AH876" s="58"/>
    </row>
    <row r="877" spans="2:34" x14ac:dyDescent="0.3">
      <c r="B877" s="58"/>
      <c r="C877" s="58"/>
      <c r="AD877" s="58"/>
      <c r="AF877" s="58"/>
      <c r="AG877" s="58"/>
      <c r="AH877" s="58"/>
    </row>
    <row r="878" spans="2:34" x14ac:dyDescent="0.3">
      <c r="B878" s="58"/>
      <c r="C878" s="58"/>
      <c r="AD878" s="58"/>
      <c r="AF878" s="58"/>
      <c r="AG878" s="58"/>
      <c r="AH878" s="58"/>
    </row>
    <row r="879" spans="2:34" x14ac:dyDescent="0.3">
      <c r="B879" s="58"/>
      <c r="C879" s="58"/>
      <c r="AD879" s="58"/>
      <c r="AF879" s="58"/>
      <c r="AG879" s="58"/>
      <c r="AH879" s="58"/>
    </row>
    <row r="880" spans="2:34" x14ac:dyDescent="0.3">
      <c r="B880" s="58"/>
      <c r="C880" s="58"/>
      <c r="AD880" s="58"/>
      <c r="AF880" s="58"/>
      <c r="AG880" s="58"/>
      <c r="AH880" s="58"/>
    </row>
    <row r="881" spans="2:34" x14ac:dyDescent="0.3">
      <c r="B881" s="58"/>
      <c r="C881" s="58"/>
      <c r="AD881" s="58"/>
      <c r="AF881" s="58"/>
      <c r="AG881" s="58"/>
      <c r="AH881" s="58"/>
    </row>
    <row r="882" spans="2:34" x14ac:dyDescent="0.3">
      <c r="B882" s="58"/>
      <c r="C882" s="58"/>
      <c r="AD882" s="58"/>
      <c r="AF882" s="58"/>
      <c r="AG882" s="58"/>
      <c r="AH882" s="58"/>
    </row>
    <row r="883" spans="2:34" x14ac:dyDescent="0.3">
      <c r="B883" s="58"/>
      <c r="C883" s="58"/>
      <c r="AD883" s="58"/>
      <c r="AF883" s="58"/>
      <c r="AG883" s="58"/>
      <c r="AH883" s="58"/>
    </row>
    <row r="884" spans="2:34" x14ac:dyDescent="0.3">
      <c r="B884" s="58"/>
      <c r="C884" s="58"/>
      <c r="AD884" s="58"/>
      <c r="AF884" s="58"/>
      <c r="AG884" s="58"/>
      <c r="AH884" s="58"/>
    </row>
    <row r="885" spans="2:34" x14ac:dyDescent="0.3">
      <c r="B885" s="58"/>
      <c r="C885" s="58"/>
      <c r="AD885" s="58"/>
      <c r="AF885" s="58"/>
      <c r="AG885" s="58"/>
      <c r="AH885" s="58"/>
    </row>
    <row r="886" spans="2:34" x14ac:dyDescent="0.3">
      <c r="B886" s="58"/>
      <c r="C886" s="58"/>
      <c r="AD886" s="58"/>
      <c r="AF886" s="58"/>
      <c r="AG886" s="58"/>
      <c r="AH886" s="58"/>
    </row>
    <row r="887" spans="2:34" x14ac:dyDescent="0.3">
      <c r="B887" s="58"/>
      <c r="C887" s="58"/>
      <c r="AD887" s="58"/>
      <c r="AF887" s="58"/>
      <c r="AG887" s="58"/>
      <c r="AH887" s="58"/>
    </row>
    <row r="888" spans="2:34" x14ac:dyDescent="0.3">
      <c r="B888" s="58"/>
      <c r="C888" s="58"/>
      <c r="AD888" s="58"/>
      <c r="AF888" s="58"/>
      <c r="AG888" s="58"/>
      <c r="AH888" s="58"/>
    </row>
    <row r="889" spans="2:34" x14ac:dyDescent="0.3">
      <c r="B889" s="58"/>
      <c r="C889" s="58"/>
      <c r="AD889" s="58"/>
      <c r="AF889" s="58"/>
      <c r="AG889" s="58"/>
      <c r="AH889" s="58"/>
    </row>
    <row r="890" spans="2:34" x14ac:dyDescent="0.3">
      <c r="B890" s="58"/>
      <c r="C890" s="58"/>
      <c r="AD890" s="58"/>
      <c r="AF890" s="58"/>
      <c r="AG890" s="58"/>
      <c r="AH890" s="58"/>
    </row>
    <row r="891" spans="2:34" x14ac:dyDescent="0.3">
      <c r="B891" s="58"/>
      <c r="C891" s="58"/>
      <c r="AD891" s="58"/>
      <c r="AF891" s="58"/>
      <c r="AG891" s="58"/>
      <c r="AH891" s="58"/>
    </row>
    <row r="892" spans="2:34" x14ac:dyDescent="0.3">
      <c r="B892" s="58"/>
      <c r="C892" s="58"/>
      <c r="AD892" s="58"/>
      <c r="AF892" s="58"/>
      <c r="AG892" s="58"/>
      <c r="AH892" s="58"/>
    </row>
    <row r="893" spans="2:34" x14ac:dyDescent="0.3">
      <c r="B893" s="58"/>
      <c r="C893" s="58"/>
      <c r="AD893" s="58"/>
      <c r="AF893" s="58"/>
      <c r="AG893" s="58"/>
      <c r="AH893" s="58"/>
    </row>
    <row r="894" spans="2:34" x14ac:dyDescent="0.3">
      <c r="B894" s="58"/>
      <c r="C894" s="58"/>
      <c r="AD894" s="58"/>
      <c r="AF894" s="58"/>
      <c r="AG894" s="58"/>
      <c r="AH894" s="58"/>
    </row>
    <row r="895" spans="2:34" x14ac:dyDescent="0.3">
      <c r="B895" s="58"/>
      <c r="C895" s="58"/>
      <c r="AD895" s="58"/>
      <c r="AF895" s="58"/>
      <c r="AG895" s="58"/>
      <c r="AH895" s="58"/>
    </row>
    <row r="896" spans="2:34" x14ac:dyDescent="0.3">
      <c r="B896" s="58"/>
      <c r="C896" s="58"/>
      <c r="AD896" s="58"/>
      <c r="AF896" s="58"/>
      <c r="AG896" s="58"/>
      <c r="AH896" s="58"/>
    </row>
    <row r="897" spans="2:34" x14ac:dyDescent="0.3">
      <c r="B897" s="58"/>
      <c r="C897" s="58"/>
      <c r="AD897" s="58"/>
      <c r="AF897" s="58"/>
      <c r="AG897" s="58"/>
      <c r="AH897" s="58"/>
    </row>
    <row r="898" spans="2:34" x14ac:dyDescent="0.3">
      <c r="B898" s="58"/>
      <c r="C898" s="58"/>
      <c r="AD898" s="58"/>
      <c r="AF898" s="58"/>
      <c r="AG898" s="58"/>
      <c r="AH898" s="58"/>
    </row>
    <row r="899" spans="2:34" x14ac:dyDescent="0.3">
      <c r="B899" s="58"/>
      <c r="C899" s="58"/>
      <c r="AD899" s="58"/>
      <c r="AF899" s="58"/>
      <c r="AG899" s="58"/>
      <c r="AH899" s="58"/>
    </row>
    <row r="900" spans="2:34" x14ac:dyDescent="0.3">
      <c r="B900" s="58"/>
      <c r="C900" s="58"/>
      <c r="AD900" s="58"/>
      <c r="AF900" s="58"/>
      <c r="AG900" s="58"/>
      <c r="AH900" s="58"/>
    </row>
    <row r="901" spans="2:34" x14ac:dyDescent="0.3">
      <c r="B901" s="58"/>
      <c r="C901" s="58"/>
      <c r="AD901" s="58"/>
      <c r="AF901" s="58"/>
      <c r="AG901" s="58"/>
      <c r="AH901" s="58"/>
    </row>
    <row r="902" spans="2:34" x14ac:dyDescent="0.3">
      <c r="B902" s="58"/>
      <c r="C902" s="58"/>
      <c r="AD902" s="58"/>
      <c r="AF902" s="58"/>
      <c r="AG902" s="58"/>
      <c r="AH902" s="58"/>
    </row>
    <row r="903" spans="2:34" x14ac:dyDescent="0.3">
      <c r="B903" s="58"/>
      <c r="C903" s="58"/>
      <c r="AD903" s="58"/>
      <c r="AF903" s="58"/>
      <c r="AG903" s="58"/>
      <c r="AH903" s="58"/>
    </row>
    <row r="904" spans="2:34" x14ac:dyDescent="0.3">
      <c r="B904" s="58"/>
      <c r="C904" s="58"/>
      <c r="AD904" s="58"/>
      <c r="AF904" s="58"/>
      <c r="AG904" s="58"/>
      <c r="AH904" s="58"/>
    </row>
    <row r="905" spans="2:34" x14ac:dyDescent="0.3">
      <c r="B905" s="58"/>
      <c r="C905" s="58"/>
      <c r="AD905" s="58"/>
      <c r="AF905" s="58"/>
      <c r="AG905" s="58"/>
      <c r="AH905" s="58"/>
    </row>
    <row r="906" spans="2:34" x14ac:dyDescent="0.3">
      <c r="B906" s="58"/>
      <c r="C906" s="58"/>
      <c r="AD906" s="58"/>
      <c r="AF906" s="58"/>
      <c r="AG906" s="58"/>
      <c r="AH906" s="58"/>
    </row>
    <row r="907" spans="2:34" x14ac:dyDescent="0.3">
      <c r="B907" s="58"/>
      <c r="C907" s="58"/>
      <c r="AD907" s="58"/>
      <c r="AF907" s="58"/>
      <c r="AG907" s="58"/>
      <c r="AH907" s="58"/>
    </row>
    <row r="908" spans="2:34" x14ac:dyDescent="0.3">
      <c r="B908" s="58"/>
      <c r="C908" s="58"/>
      <c r="AD908" s="58"/>
      <c r="AF908" s="58"/>
      <c r="AG908" s="58"/>
      <c r="AH908" s="58"/>
    </row>
    <row r="909" spans="2:34" x14ac:dyDescent="0.3">
      <c r="B909" s="58"/>
      <c r="C909" s="58"/>
      <c r="AD909" s="58"/>
      <c r="AF909" s="58"/>
      <c r="AG909" s="58"/>
      <c r="AH909" s="58"/>
    </row>
    <row r="910" spans="2:34" x14ac:dyDescent="0.3">
      <c r="B910" s="58"/>
      <c r="C910" s="58"/>
      <c r="AD910" s="58"/>
      <c r="AF910" s="58"/>
      <c r="AG910" s="58"/>
      <c r="AH910" s="58"/>
    </row>
    <row r="911" spans="2:34" x14ac:dyDescent="0.3">
      <c r="B911" s="58"/>
      <c r="C911" s="58"/>
      <c r="AD911" s="58"/>
      <c r="AF911" s="58"/>
      <c r="AG911" s="58"/>
      <c r="AH911" s="58"/>
    </row>
    <row r="912" spans="2:34" x14ac:dyDescent="0.3">
      <c r="B912" s="58"/>
      <c r="C912" s="58"/>
      <c r="AD912" s="58"/>
      <c r="AF912" s="58"/>
      <c r="AG912" s="58"/>
      <c r="AH912" s="58"/>
    </row>
    <row r="913" spans="2:34" x14ac:dyDescent="0.3">
      <c r="B913" s="58"/>
      <c r="C913" s="58"/>
      <c r="AD913" s="58"/>
      <c r="AF913" s="58"/>
      <c r="AG913" s="58"/>
      <c r="AH913" s="58"/>
    </row>
    <row r="914" spans="2:34" x14ac:dyDescent="0.3">
      <c r="B914" s="58"/>
      <c r="C914" s="58"/>
      <c r="AD914" s="58"/>
      <c r="AF914" s="58"/>
      <c r="AG914" s="58"/>
      <c r="AH914" s="58"/>
    </row>
    <row r="915" spans="2:34" x14ac:dyDescent="0.3">
      <c r="B915" s="58"/>
      <c r="C915" s="58"/>
      <c r="AD915" s="58"/>
      <c r="AF915" s="58"/>
      <c r="AG915" s="58"/>
      <c r="AH915" s="58"/>
    </row>
    <row r="916" spans="2:34" x14ac:dyDescent="0.3">
      <c r="B916" s="58"/>
      <c r="C916" s="58"/>
      <c r="AD916" s="58"/>
      <c r="AF916" s="58"/>
      <c r="AG916" s="58"/>
      <c r="AH916" s="58"/>
    </row>
    <row r="917" spans="2:34" x14ac:dyDescent="0.3">
      <c r="B917" s="58"/>
      <c r="C917" s="58"/>
      <c r="AD917" s="58"/>
      <c r="AF917" s="58"/>
      <c r="AG917" s="58"/>
      <c r="AH917" s="58"/>
    </row>
    <row r="918" spans="2:34" x14ac:dyDescent="0.3">
      <c r="B918" s="58"/>
      <c r="C918" s="58"/>
      <c r="AD918" s="58"/>
      <c r="AF918" s="58"/>
      <c r="AG918" s="58"/>
      <c r="AH918" s="58"/>
    </row>
    <row r="919" spans="2:34" x14ac:dyDescent="0.3">
      <c r="B919" s="58"/>
      <c r="C919" s="58"/>
      <c r="AD919" s="58"/>
      <c r="AF919" s="58"/>
      <c r="AG919" s="58"/>
      <c r="AH919" s="58"/>
    </row>
    <row r="920" spans="2:34" x14ac:dyDescent="0.3">
      <c r="B920" s="58"/>
      <c r="C920" s="58"/>
      <c r="AD920" s="58"/>
      <c r="AF920" s="58"/>
      <c r="AG920" s="58"/>
      <c r="AH920" s="58"/>
    </row>
    <row r="921" spans="2:34" x14ac:dyDescent="0.3">
      <c r="B921" s="58"/>
      <c r="C921" s="58"/>
      <c r="AD921" s="58"/>
      <c r="AF921" s="58"/>
      <c r="AG921" s="58"/>
      <c r="AH921" s="58"/>
    </row>
    <row r="922" spans="2:34" x14ac:dyDescent="0.3">
      <c r="B922" s="58"/>
      <c r="C922" s="58"/>
      <c r="AD922" s="58"/>
      <c r="AF922" s="58"/>
      <c r="AG922" s="58"/>
      <c r="AH922" s="58"/>
    </row>
    <row r="923" spans="2:34" x14ac:dyDescent="0.3">
      <c r="B923" s="58"/>
      <c r="C923" s="58"/>
      <c r="AD923" s="58"/>
      <c r="AF923" s="58"/>
      <c r="AG923" s="58"/>
      <c r="AH923" s="58"/>
    </row>
    <row r="924" spans="2:34" x14ac:dyDescent="0.3">
      <c r="B924" s="58"/>
      <c r="C924" s="58"/>
      <c r="AD924" s="58"/>
      <c r="AF924" s="58"/>
      <c r="AG924" s="58"/>
      <c r="AH924" s="58"/>
    </row>
    <row r="925" spans="2:34" x14ac:dyDescent="0.3">
      <c r="B925" s="58"/>
      <c r="C925" s="58"/>
      <c r="AD925" s="58"/>
      <c r="AF925" s="58"/>
      <c r="AG925" s="58"/>
      <c r="AH925" s="58"/>
    </row>
    <row r="926" spans="2:34" x14ac:dyDescent="0.3">
      <c r="B926" s="58"/>
      <c r="C926" s="58"/>
      <c r="AD926" s="58"/>
      <c r="AF926" s="58"/>
      <c r="AG926" s="58"/>
      <c r="AH926" s="58"/>
    </row>
    <row r="927" spans="2:34" x14ac:dyDescent="0.3">
      <c r="B927" s="58"/>
      <c r="C927" s="58"/>
      <c r="AD927" s="58"/>
      <c r="AF927" s="58"/>
      <c r="AG927" s="58"/>
      <c r="AH927" s="58"/>
    </row>
    <row r="928" spans="2:34" x14ac:dyDescent="0.3">
      <c r="B928" s="58"/>
      <c r="C928" s="58"/>
      <c r="AD928" s="58"/>
      <c r="AF928" s="58"/>
      <c r="AG928" s="58"/>
      <c r="AH928" s="58"/>
    </row>
    <row r="929" spans="2:34" x14ac:dyDescent="0.3">
      <c r="B929" s="58"/>
      <c r="C929" s="58"/>
      <c r="AD929" s="58"/>
      <c r="AF929" s="58"/>
      <c r="AG929" s="58"/>
      <c r="AH929" s="58"/>
    </row>
    <row r="930" spans="2:34" x14ac:dyDescent="0.3">
      <c r="B930" s="58"/>
      <c r="C930" s="58"/>
      <c r="AD930" s="58"/>
      <c r="AF930" s="58"/>
      <c r="AG930" s="58"/>
      <c r="AH930" s="58"/>
    </row>
    <row r="931" spans="2:34" x14ac:dyDescent="0.3">
      <c r="B931" s="58"/>
      <c r="C931" s="58"/>
      <c r="AD931" s="58"/>
      <c r="AF931" s="58"/>
      <c r="AG931" s="58"/>
      <c r="AH931" s="58"/>
    </row>
    <row r="932" spans="2:34" x14ac:dyDescent="0.3">
      <c r="B932" s="58"/>
      <c r="C932" s="58"/>
      <c r="AD932" s="58"/>
      <c r="AF932" s="58"/>
      <c r="AG932" s="58"/>
      <c r="AH932" s="58"/>
    </row>
    <row r="933" spans="2:34" x14ac:dyDescent="0.3">
      <c r="B933" s="58"/>
      <c r="C933" s="58"/>
      <c r="AD933" s="58"/>
      <c r="AF933" s="58"/>
      <c r="AG933" s="58"/>
      <c r="AH933" s="58"/>
    </row>
    <row r="934" spans="2:34" x14ac:dyDescent="0.3">
      <c r="B934" s="58"/>
      <c r="C934" s="58"/>
      <c r="AD934" s="58"/>
      <c r="AF934" s="58"/>
      <c r="AG934" s="58"/>
      <c r="AH934" s="58"/>
    </row>
    <row r="935" spans="2:34" x14ac:dyDescent="0.3">
      <c r="B935" s="58"/>
      <c r="C935" s="58"/>
      <c r="AD935" s="58"/>
      <c r="AF935" s="58"/>
      <c r="AG935" s="58"/>
      <c r="AH935" s="58"/>
    </row>
    <row r="936" spans="2:34" x14ac:dyDescent="0.3">
      <c r="B936" s="58"/>
      <c r="C936" s="58"/>
      <c r="AD936" s="58"/>
      <c r="AF936" s="58"/>
      <c r="AG936" s="58"/>
      <c r="AH936" s="58"/>
    </row>
    <row r="937" spans="2:34" x14ac:dyDescent="0.3">
      <c r="B937" s="58"/>
      <c r="C937" s="58"/>
      <c r="AD937" s="58"/>
      <c r="AF937" s="58"/>
      <c r="AG937" s="58"/>
      <c r="AH937" s="58"/>
    </row>
    <row r="938" spans="2:34" x14ac:dyDescent="0.3">
      <c r="B938" s="58"/>
      <c r="C938" s="58"/>
      <c r="AD938" s="58"/>
      <c r="AF938" s="58"/>
      <c r="AG938" s="58"/>
      <c r="AH938" s="58"/>
    </row>
    <row r="939" spans="2:34" x14ac:dyDescent="0.3">
      <c r="B939" s="58"/>
      <c r="C939" s="58"/>
      <c r="AD939" s="58"/>
      <c r="AF939" s="58"/>
      <c r="AG939" s="58"/>
      <c r="AH939" s="58"/>
    </row>
    <row r="940" spans="2:34" x14ac:dyDescent="0.3">
      <c r="B940" s="58"/>
      <c r="C940" s="58"/>
      <c r="AD940" s="58"/>
      <c r="AF940" s="58"/>
      <c r="AG940" s="58"/>
      <c r="AH940" s="58"/>
    </row>
    <row r="941" spans="2:34" x14ac:dyDescent="0.3">
      <c r="B941" s="58"/>
      <c r="C941" s="58"/>
      <c r="AD941" s="58"/>
      <c r="AF941" s="58"/>
      <c r="AG941" s="58"/>
      <c r="AH941" s="58"/>
    </row>
    <row r="942" spans="2:34" x14ac:dyDescent="0.3">
      <c r="B942" s="58"/>
      <c r="C942" s="58"/>
      <c r="AD942" s="58"/>
      <c r="AF942" s="58"/>
      <c r="AG942" s="58"/>
      <c r="AH942" s="58"/>
    </row>
    <row r="943" spans="2:34" x14ac:dyDescent="0.3">
      <c r="B943" s="58"/>
      <c r="C943" s="58"/>
      <c r="AD943" s="58"/>
      <c r="AF943" s="58"/>
      <c r="AG943" s="58"/>
      <c r="AH943" s="58"/>
    </row>
    <row r="944" spans="2:34" x14ac:dyDescent="0.3">
      <c r="B944" s="58"/>
      <c r="C944" s="58"/>
      <c r="AD944" s="58"/>
      <c r="AF944" s="58"/>
      <c r="AG944" s="58"/>
      <c r="AH944" s="58"/>
    </row>
    <row r="945" spans="2:34" x14ac:dyDescent="0.3">
      <c r="B945" s="58"/>
      <c r="C945" s="58"/>
      <c r="AD945" s="58"/>
      <c r="AF945" s="58"/>
      <c r="AG945" s="58"/>
      <c r="AH945" s="58"/>
    </row>
    <row r="946" spans="2:34" x14ac:dyDescent="0.3">
      <c r="B946" s="58"/>
      <c r="C946" s="58"/>
      <c r="AD946" s="58"/>
      <c r="AF946" s="58"/>
      <c r="AG946" s="58"/>
      <c r="AH946" s="58"/>
    </row>
    <row r="947" spans="2:34" x14ac:dyDescent="0.3">
      <c r="B947" s="58"/>
      <c r="C947" s="58"/>
      <c r="AD947" s="58"/>
      <c r="AF947" s="58"/>
      <c r="AG947" s="58"/>
      <c r="AH947" s="58"/>
    </row>
    <row r="948" spans="2:34" x14ac:dyDescent="0.3">
      <c r="B948" s="58"/>
      <c r="C948" s="58"/>
      <c r="AD948" s="58"/>
      <c r="AF948" s="58"/>
      <c r="AG948" s="58"/>
      <c r="AH948" s="58"/>
    </row>
    <row r="949" spans="2:34" x14ac:dyDescent="0.3">
      <c r="B949" s="58"/>
      <c r="C949" s="58"/>
      <c r="AD949" s="58"/>
      <c r="AF949" s="58"/>
      <c r="AG949" s="58"/>
      <c r="AH949" s="58"/>
    </row>
    <row r="950" spans="2:34" x14ac:dyDescent="0.3">
      <c r="B950" s="58"/>
      <c r="C950" s="58"/>
      <c r="AD950" s="58"/>
      <c r="AF950" s="58"/>
      <c r="AG950" s="58"/>
      <c r="AH950" s="58"/>
    </row>
    <row r="951" spans="2:34" x14ac:dyDescent="0.3">
      <c r="B951" s="58"/>
      <c r="C951" s="58"/>
      <c r="AD951" s="58"/>
      <c r="AF951" s="58"/>
      <c r="AG951" s="58"/>
      <c r="AH951" s="58"/>
    </row>
    <row r="952" spans="2:34" x14ac:dyDescent="0.3">
      <c r="B952" s="58"/>
      <c r="C952" s="58"/>
      <c r="AD952" s="58"/>
      <c r="AF952" s="58"/>
      <c r="AG952" s="58"/>
      <c r="AH952" s="58"/>
    </row>
    <row r="953" spans="2:34" x14ac:dyDescent="0.3">
      <c r="B953" s="58"/>
      <c r="C953" s="58"/>
      <c r="AD953" s="58"/>
      <c r="AF953" s="58"/>
      <c r="AG953" s="58"/>
      <c r="AH953" s="58"/>
    </row>
    <row r="954" spans="2:34" x14ac:dyDescent="0.3">
      <c r="B954" s="58"/>
      <c r="C954" s="58"/>
      <c r="AD954" s="58"/>
      <c r="AF954" s="58"/>
      <c r="AG954" s="58"/>
      <c r="AH954" s="58"/>
    </row>
    <row r="955" spans="2:34" x14ac:dyDescent="0.3">
      <c r="B955" s="58"/>
      <c r="C955" s="58"/>
      <c r="AD955" s="58"/>
      <c r="AF955" s="58"/>
      <c r="AG955" s="58"/>
      <c r="AH955" s="58"/>
    </row>
    <row r="956" spans="2:34" x14ac:dyDescent="0.3">
      <c r="B956" s="58"/>
      <c r="C956" s="58"/>
      <c r="AD956" s="58"/>
      <c r="AF956" s="58"/>
      <c r="AG956" s="58"/>
      <c r="AH956" s="58"/>
    </row>
    <row r="957" spans="2:34" x14ac:dyDescent="0.3">
      <c r="B957" s="58"/>
      <c r="C957" s="58"/>
      <c r="AD957" s="58"/>
      <c r="AF957" s="58"/>
      <c r="AG957" s="58"/>
      <c r="AH957" s="58"/>
    </row>
    <row r="958" spans="2:34" x14ac:dyDescent="0.3">
      <c r="B958" s="58"/>
      <c r="C958" s="58"/>
      <c r="AD958" s="58"/>
      <c r="AF958" s="58"/>
      <c r="AG958" s="58"/>
      <c r="AH958" s="58"/>
    </row>
    <row r="959" spans="2:34" x14ac:dyDescent="0.3">
      <c r="B959" s="58"/>
      <c r="C959" s="58"/>
      <c r="AD959" s="58"/>
      <c r="AF959" s="58"/>
      <c r="AG959" s="58"/>
      <c r="AH959" s="58"/>
    </row>
    <row r="960" spans="2:34" x14ac:dyDescent="0.3">
      <c r="B960" s="58"/>
      <c r="C960" s="58"/>
      <c r="AD960" s="58"/>
      <c r="AF960" s="58"/>
      <c r="AG960" s="58"/>
      <c r="AH960" s="58"/>
    </row>
    <row r="961" spans="2:34" x14ac:dyDescent="0.3">
      <c r="B961" s="58"/>
      <c r="C961" s="58"/>
      <c r="AD961" s="58"/>
      <c r="AF961" s="58"/>
      <c r="AG961" s="58"/>
      <c r="AH961" s="58"/>
    </row>
    <row r="962" spans="2:34" x14ac:dyDescent="0.3">
      <c r="B962" s="58"/>
      <c r="C962" s="58"/>
      <c r="AD962" s="58"/>
      <c r="AF962" s="58"/>
      <c r="AG962" s="58"/>
      <c r="AH962" s="58"/>
    </row>
    <row r="963" spans="2:34" x14ac:dyDescent="0.3">
      <c r="B963" s="58"/>
      <c r="C963" s="58"/>
      <c r="AD963" s="58"/>
      <c r="AF963" s="58"/>
      <c r="AG963" s="58"/>
      <c r="AH963" s="58"/>
    </row>
    <row r="964" spans="2:34" x14ac:dyDescent="0.3">
      <c r="B964" s="58"/>
      <c r="C964" s="58"/>
      <c r="AD964" s="58"/>
      <c r="AF964" s="58"/>
      <c r="AG964" s="58"/>
      <c r="AH964" s="58"/>
    </row>
    <row r="965" spans="2:34" x14ac:dyDescent="0.3">
      <c r="B965" s="58"/>
      <c r="C965" s="58"/>
      <c r="AD965" s="58"/>
      <c r="AF965" s="58"/>
      <c r="AG965" s="58"/>
      <c r="AH965" s="58"/>
    </row>
    <row r="966" spans="2:34" x14ac:dyDescent="0.3">
      <c r="B966" s="58"/>
      <c r="C966" s="58"/>
      <c r="AD966" s="58"/>
      <c r="AF966" s="58"/>
      <c r="AG966" s="58"/>
      <c r="AH966" s="58"/>
    </row>
    <row r="967" spans="2:34" x14ac:dyDescent="0.3">
      <c r="B967" s="58"/>
      <c r="C967" s="58"/>
      <c r="AD967" s="58"/>
      <c r="AF967" s="58"/>
      <c r="AG967" s="58"/>
      <c r="AH967" s="58"/>
    </row>
    <row r="968" spans="2:34" x14ac:dyDescent="0.3">
      <c r="B968" s="58"/>
      <c r="C968" s="58"/>
      <c r="AD968" s="58"/>
      <c r="AF968" s="58"/>
      <c r="AG968" s="58"/>
      <c r="AH968" s="58"/>
    </row>
    <row r="969" spans="2:34" x14ac:dyDescent="0.3">
      <c r="B969" s="58"/>
      <c r="C969" s="58"/>
      <c r="AD969" s="58"/>
      <c r="AF969" s="58"/>
      <c r="AG969" s="58"/>
      <c r="AH969" s="58"/>
    </row>
    <row r="970" spans="2:34" x14ac:dyDescent="0.3">
      <c r="B970" s="58"/>
      <c r="C970" s="58"/>
      <c r="AD970" s="58"/>
      <c r="AF970" s="58"/>
      <c r="AG970" s="58"/>
      <c r="AH970" s="58"/>
    </row>
    <row r="971" spans="2:34" x14ac:dyDescent="0.3">
      <c r="B971" s="58"/>
      <c r="C971" s="58"/>
      <c r="AD971" s="58"/>
      <c r="AF971" s="58"/>
      <c r="AG971" s="58"/>
      <c r="AH971" s="58"/>
    </row>
    <row r="972" spans="2:34" x14ac:dyDescent="0.3">
      <c r="B972" s="58"/>
      <c r="C972" s="58"/>
      <c r="AD972" s="58"/>
      <c r="AF972" s="58"/>
      <c r="AG972" s="58"/>
      <c r="AH972" s="58"/>
    </row>
    <row r="973" spans="2:34" x14ac:dyDescent="0.3">
      <c r="B973" s="58"/>
      <c r="C973" s="58"/>
      <c r="AD973" s="58"/>
      <c r="AF973" s="58"/>
      <c r="AG973" s="58"/>
      <c r="AH973" s="58"/>
    </row>
    <row r="974" spans="2:34" x14ac:dyDescent="0.3">
      <c r="B974" s="58"/>
      <c r="C974" s="58"/>
      <c r="AD974" s="58"/>
      <c r="AF974" s="58"/>
      <c r="AG974" s="58"/>
      <c r="AH974" s="58"/>
    </row>
    <row r="975" spans="2:34" x14ac:dyDescent="0.3">
      <c r="B975" s="58"/>
      <c r="C975" s="58"/>
      <c r="AD975" s="58"/>
      <c r="AF975" s="58"/>
      <c r="AG975" s="58"/>
      <c r="AH975" s="58"/>
    </row>
    <row r="976" spans="2:34" x14ac:dyDescent="0.3">
      <c r="B976" s="58"/>
      <c r="C976" s="58"/>
      <c r="AD976" s="58"/>
      <c r="AF976" s="58"/>
      <c r="AG976" s="58"/>
      <c r="AH976" s="58"/>
    </row>
    <row r="977" spans="2:34" x14ac:dyDescent="0.3">
      <c r="B977" s="58"/>
      <c r="C977" s="58"/>
      <c r="AD977" s="58"/>
      <c r="AF977" s="58"/>
      <c r="AG977" s="58"/>
      <c r="AH977" s="58"/>
    </row>
    <row r="978" spans="2:34" x14ac:dyDescent="0.3">
      <c r="B978" s="58"/>
      <c r="C978" s="58"/>
      <c r="AD978" s="58"/>
      <c r="AF978" s="58"/>
      <c r="AG978" s="58"/>
      <c r="AH978" s="58"/>
    </row>
    <row r="979" spans="2:34" x14ac:dyDescent="0.3">
      <c r="B979" s="58"/>
      <c r="C979" s="58"/>
      <c r="AD979" s="58"/>
      <c r="AF979" s="58"/>
      <c r="AG979" s="58"/>
      <c r="AH979" s="58"/>
    </row>
    <row r="980" spans="2:34" x14ac:dyDescent="0.3">
      <c r="B980" s="58"/>
      <c r="C980" s="58"/>
      <c r="AD980" s="58"/>
      <c r="AF980" s="58"/>
      <c r="AG980" s="58"/>
      <c r="AH980" s="58"/>
    </row>
    <row r="981" spans="2:34" x14ac:dyDescent="0.3">
      <c r="B981" s="58"/>
      <c r="C981" s="58"/>
      <c r="AD981" s="58"/>
      <c r="AF981" s="58"/>
      <c r="AG981" s="58"/>
      <c r="AH981" s="58"/>
    </row>
    <row r="982" spans="2:34" x14ac:dyDescent="0.3">
      <c r="B982" s="58"/>
      <c r="C982" s="58"/>
      <c r="AD982" s="58"/>
      <c r="AF982" s="58"/>
      <c r="AG982" s="58"/>
      <c r="AH982" s="58"/>
    </row>
    <row r="983" spans="2:34" x14ac:dyDescent="0.3">
      <c r="B983" s="58"/>
      <c r="C983" s="58"/>
      <c r="AD983" s="58"/>
      <c r="AF983" s="58"/>
      <c r="AG983" s="58"/>
      <c r="AH983" s="58"/>
    </row>
    <row r="984" spans="2:34" x14ac:dyDescent="0.3">
      <c r="B984" s="58"/>
      <c r="C984" s="58"/>
      <c r="AD984" s="58"/>
      <c r="AF984" s="58"/>
      <c r="AG984" s="58"/>
      <c r="AH984" s="58"/>
    </row>
    <row r="985" spans="2:34" x14ac:dyDescent="0.3">
      <c r="B985" s="58"/>
      <c r="C985" s="58"/>
      <c r="AD985" s="58"/>
      <c r="AF985" s="58"/>
      <c r="AG985" s="58"/>
      <c r="AH985" s="58"/>
    </row>
    <row r="986" spans="2:34" x14ac:dyDescent="0.3">
      <c r="B986" s="58"/>
      <c r="C986" s="58"/>
      <c r="AD986" s="58"/>
      <c r="AF986" s="58"/>
      <c r="AG986" s="58"/>
      <c r="AH986" s="58"/>
    </row>
    <row r="987" spans="2:34" x14ac:dyDescent="0.3">
      <c r="B987" s="58"/>
      <c r="C987" s="58"/>
      <c r="AD987" s="58"/>
      <c r="AF987" s="58"/>
      <c r="AG987" s="58"/>
      <c r="AH987" s="58"/>
    </row>
    <row r="988" spans="2:34" x14ac:dyDescent="0.3">
      <c r="B988" s="58"/>
      <c r="C988" s="58"/>
      <c r="AD988" s="58"/>
      <c r="AF988" s="58"/>
      <c r="AG988" s="58"/>
      <c r="AH988" s="58"/>
    </row>
    <row r="989" spans="2:34" x14ac:dyDescent="0.3">
      <c r="B989" s="58"/>
      <c r="C989" s="58"/>
      <c r="AD989" s="58"/>
      <c r="AF989" s="58"/>
      <c r="AG989" s="58"/>
      <c r="AH989" s="58"/>
    </row>
    <row r="990" spans="2:34" x14ac:dyDescent="0.3">
      <c r="B990" s="58"/>
      <c r="C990" s="58"/>
      <c r="AD990" s="58"/>
      <c r="AF990" s="58"/>
      <c r="AG990" s="58"/>
      <c r="AH990" s="58"/>
    </row>
    <row r="991" spans="2:34" x14ac:dyDescent="0.3">
      <c r="B991" s="58"/>
      <c r="C991" s="58"/>
      <c r="AD991" s="58"/>
      <c r="AF991" s="58"/>
      <c r="AG991" s="58"/>
      <c r="AH991" s="58"/>
    </row>
  </sheetData>
  <mergeCells count="6">
    <mergeCell ref="D1:E1"/>
    <mergeCell ref="X1:Y1"/>
    <mergeCell ref="Z1:AA1"/>
    <mergeCell ref="AI1:AK1"/>
    <mergeCell ref="AL1:AS1"/>
    <mergeCell ref="F1:W1"/>
  </mergeCells>
  <conditionalFormatting sqref="B1">
    <cfRule type="duplicateValues" dxfId="9" priority="9"/>
  </conditionalFormatting>
  <conditionalFormatting sqref="AD1">
    <cfRule type="duplicateValues" dxfId="8" priority="8"/>
  </conditionalFormatting>
  <conditionalFormatting sqref="AE1">
    <cfRule type="duplicateValues" dxfId="7" priority="7"/>
  </conditionalFormatting>
  <conditionalFormatting sqref="AF1 AH1">
    <cfRule type="duplicateValues" dxfId="6" priority="6"/>
  </conditionalFormatting>
  <conditionalFormatting sqref="AG1">
    <cfRule type="duplicateValues" dxfId="5" priority="5"/>
  </conditionalFormatting>
  <conditionalFormatting sqref="AI2">
    <cfRule type="duplicateValues" dxfId="4" priority="4"/>
  </conditionalFormatting>
  <conditionalFormatting sqref="AR2:AS2">
    <cfRule type="duplicateValues" dxfId="3" priority="3"/>
  </conditionalFormatting>
  <conditionalFormatting sqref="F2:W2">
    <cfRule type="duplicateValues" dxfId="2" priority="10"/>
  </conditionalFormatting>
  <conditionalFormatting sqref="C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1014"/>
  <sheetViews>
    <sheetView topLeftCell="B1" workbookViewId="0">
      <selection activeCell="E1" sqref="E1"/>
    </sheetView>
  </sheetViews>
  <sheetFormatPr defaultColWidth="14.44140625" defaultRowHeight="15" customHeight="1" x14ac:dyDescent="0.3"/>
  <cols>
    <col min="1" max="1" width="3.88671875" customWidth="1"/>
    <col min="2" max="2" width="27.6640625" customWidth="1"/>
    <col min="3" max="3" width="14.6640625" customWidth="1"/>
    <col min="4" max="5" width="15.109375" customWidth="1"/>
    <col min="6" max="6" width="18" customWidth="1"/>
    <col min="7" max="7" width="19.44140625" customWidth="1"/>
    <col min="8" max="8" width="3.88671875" customWidth="1"/>
    <col min="9" max="9" width="4.33203125" customWidth="1"/>
    <col min="10" max="10" width="13.88671875" customWidth="1"/>
    <col min="11" max="11" width="19.33203125" customWidth="1"/>
    <col min="12" max="12" width="7.109375" customWidth="1"/>
    <col min="13" max="13" width="18.5546875" customWidth="1"/>
    <col min="14" max="14" width="6" customWidth="1"/>
    <col min="15" max="15" width="9.88671875" customWidth="1"/>
    <col min="16" max="16" width="12.109375" customWidth="1"/>
    <col min="17" max="17" width="9.88671875" customWidth="1"/>
    <col min="18" max="18" width="13.5546875" customWidth="1"/>
    <col min="19" max="19" width="9.88671875" customWidth="1"/>
    <col min="20" max="20" width="8.5546875" customWidth="1"/>
    <col min="21" max="21" width="9.88671875" customWidth="1"/>
    <col min="22" max="22" width="10.5546875" customWidth="1"/>
    <col min="23" max="23" width="9.88671875" customWidth="1"/>
    <col min="24" max="24" width="11.5546875" customWidth="1"/>
    <col min="25" max="25" width="9.88671875" customWidth="1"/>
    <col min="26" max="26" width="7.44140625" customWidth="1"/>
    <col min="27" max="27" width="69.88671875" customWidth="1"/>
    <col min="28" max="28" width="10.5546875" customWidth="1"/>
    <col min="29" max="29" width="11.109375" customWidth="1"/>
    <col min="30" max="30" width="10" customWidth="1"/>
  </cols>
  <sheetData>
    <row r="1" spans="1:49" ht="15" customHeight="1" x14ac:dyDescent="0.3">
      <c r="A1" s="33" t="s">
        <v>704</v>
      </c>
      <c r="B1" s="33" t="s">
        <v>705</v>
      </c>
      <c r="C1" s="33" t="s">
        <v>868</v>
      </c>
      <c r="D1" s="33" t="s">
        <v>706</v>
      </c>
      <c r="E1" s="33"/>
      <c r="F1" s="33" t="s">
        <v>707</v>
      </c>
      <c r="G1" s="33" t="s">
        <v>708</v>
      </c>
      <c r="H1" s="33" t="s">
        <v>2</v>
      </c>
      <c r="I1" s="33" t="s">
        <v>709</v>
      </c>
      <c r="J1" s="33" t="s">
        <v>710</v>
      </c>
      <c r="K1" s="33" t="s">
        <v>711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15</v>
      </c>
      <c r="R1" s="33" t="s">
        <v>17</v>
      </c>
      <c r="S1" s="33" t="s">
        <v>15</v>
      </c>
      <c r="T1" s="33" t="s">
        <v>712</v>
      </c>
      <c r="U1" s="34" t="s">
        <v>15</v>
      </c>
      <c r="V1" s="34" t="s">
        <v>19</v>
      </c>
      <c r="W1" s="34" t="s">
        <v>15</v>
      </c>
      <c r="X1" s="34" t="s">
        <v>20</v>
      </c>
      <c r="Y1" s="34" t="s">
        <v>15</v>
      </c>
      <c r="Z1" s="34" t="s">
        <v>21</v>
      </c>
      <c r="AA1" s="34" t="s">
        <v>15</v>
      </c>
      <c r="AB1" s="34" t="s">
        <v>5</v>
      </c>
      <c r="AC1" s="34" t="s">
        <v>713</v>
      </c>
      <c r="AD1" s="34" t="s">
        <v>15</v>
      </c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</row>
    <row r="2" spans="1:49" ht="15" customHeight="1" x14ac:dyDescent="0.3">
      <c r="A2" s="1">
        <v>1</v>
      </c>
      <c r="B2" s="1" t="s">
        <v>385</v>
      </c>
      <c r="C2" s="1" t="str">
        <f t="shared" ref="C2:C32" si="0">MID(B2, 4, LEN(B2)-3) &amp; "-" &amp; LEFT(B2, 3)</f>
        <v>MTI-P-028</v>
      </c>
      <c r="D2" s="16">
        <v>44937</v>
      </c>
      <c r="E2" s="16"/>
      <c r="F2" s="1" t="s">
        <v>714</v>
      </c>
      <c r="G2" s="1" t="s">
        <v>715</v>
      </c>
      <c r="H2" s="1" t="s">
        <v>36</v>
      </c>
      <c r="I2" s="1">
        <v>29</v>
      </c>
      <c r="J2" s="1">
        <v>68</v>
      </c>
      <c r="K2" s="1">
        <v>37</v>
      </c>
      <c r="L2" s="1" t="s">
        <v>41</v>
      </c>
      <c r="M2" s="1"/>
      <c r="N2" s="1" t="s">
        <v>41</v>
      </c>
      <c r="O2" s="1"/>
      <c r="P2" s="1" t="s">
        <v>41</v>
      </c>
      <c r="Q2" s="1"/>
      <c r="R2" s="1" t="s">
        <v>41</v>
      </c>
      <c r="S2" s="1"/>
      <c r="T2" s="1" t="s">
        <v>41</v>
      </c>
      <c r="U2" s="1"/>
      <c r="V2" s="1" t="s">
        <v>41</v>
      </c>
      <c r="W2" s="1"/>
      <c r="X2" s="1" t="s">
        <v>41</v>
      </c>
      <c r="Y2" s="1"/>
      <c r="Z2" s="1" t="s">
        <v>41</v>
      </c>
      <c r="AA2" s="1"/>
      <c r="AB2" s="1" t="s">
        <v>68</v>
      </c>
      <c r="AC2" s="1"/>
      <c r="AD2" s="1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</row>
    <row r="3" spans="1:49" ht="15" customHeight="1" x14ac:dyDescent="0.3">
      <c r="A3" s="1">
        <v>2</v>
      </c>
      <c r="B3" s="1" t="s">
        <v>365</v>
      </c>
      <c r="C3" s="1" t="str">
        <f t="shared" si="0"/>
        <v>MTI-P-035</v>
      </c>
      <c r="D3" s="16">
        <v>44935</v>
      </c>
      <c r="E3" s="16"/>
      <c r="F3" s="1" t="s">
        <v>716</v>
      </c>
      <c r="G3" s="1" t="s">
        <v>681</v>
      </c>
      <c r="H3" s="1" t="s">
        <v>36</v>
      </c>
      <c r="I3" s="1">
        <v>79</v>
      </c>
      <c r="J3" s="1">
        <v>46</v>
      </c>
      <c r="K3" s="1">
        <v>37</v>
      </c>
      <c r="L3" s="1" t="s">
        <v>38</v>
      </c>
      <c r="M3" s="1" t="s">
        <v>53</v>
      </c>
      <c r="N3" s="1" t="s">
        <v>41</v>
      </c>
      <c r="O3" s="1"/>
      <c r="P3" s="1" t="s">
        <v>41</v>
      </c>
      <c r="Q3" s="1"/>
      <c r="R3" s="1" t="s">
        <v>41</v>
      </c>
      <c r="S3" s="1"/>
      <c r="T3" s="1" t="s">
        <v>41</v>
      </c>
      <c r="U3" s="1"/>
      <c r="V3" s="1" t="s">
        <v>41</v>
      </c>
      <c r="W3" s="1"/>
      <c r="X3" s="1" t="s">
        <v>41</v>
      </c>
      <c r="Y3" s="1"/>
      <c r="Z3" s="1" t="s">
        <v>41</v>
      </c>
      <c r="AA3" s="1"/>
      <c r="AB3" s="1" t="s">
        <v>68</v>
      </c>
      <c r="AC3" s="1"/>
      <c r="AD3" s="1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</row>
    <row r="4" spans="1:49" ht="15" customHeight="1" x14ac:dyDescent="0.3">
      <c r="A4" s="1">
        <v>3</v>
      </c>
      <c r="B4" s="1" t="s">
        <v>362</v>
      </c>
      <c r="C4" s="1" t="str">
        <f>MID(B4, 4, LEN(B4)-3) &amp; "-" &amp; LEFT(B4, 3)</f>
        <v>MTI-P-036</v>
      </c>
      <c r="D4" s="16" t="s">
        <v>717</v>
      </c>
      <c r="E4" s="16"/>
      <c r="F4" s="1" t="s">
        <v>716</v>
      </c>
      <c r="G4" s="1" t="s">
        <v>383</v>
      </c>
      <c r="H4" s="1" t="s">
        <v>36</v>
      </c>
      <c r="I4" s="1">
        <v>40</v>
      </c>
      <c r="J4" s="1">
        <v>52</v>
      </c>
      <c r="K4" s="1">
        <v>37</v>
      </c>
      <c r="L4" s="1" t="s">
        <v>38</v>
      </c>
      <c r="M4" s="1" t="s">
        <v>718</v>
      </c>
      <c r="N4" s="1" t="s">
        <v>41</v>
      </c>
      <c r="O4" s="1"/>
      <c r="P4" s="1" t="s">
        <v>41</v>
      </c>
      <c r="Q4" s="1"/>
      <c r="R4" s="1" t="s">
        <v>41</v>
      </c>
      <c r="S4" s="1"/>
      <c r="T4" s="1" t="s">
        <v>41</v>
      </c>
      <c r="U4" s="1"/>
      <c r="V4" s="1" t="s">
        <v>41</v>
      </c>
      <c r="W4" s="1"/>
      <c r="X4" s="1" t="s">
        <v>41</v>
      </c>
      <c r="Y4" s="1"/>
      <c r="Z4" s="1" t="s">
        <v>41</v>
      </c>
      <c r="AA4" s="1"/>
      <c r="AB4" s="1" t="s">
        <v>68</v>
      </c>
      <c r="AC4" s="1"/>
      <c r="AD4" s="1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</row>
    <row r="5" spans="1:49" ht="15" customHeight="1" x14ac:dyDescent="0.3">
      <c r="A5" s="1">
        <v>4</v>
      </c>
      <c r="B5" s="1" t="s">
        <v>369</v>
      </c>
      <c r="C5" s="1" t="str">
        <f t="shared" si="0"/>
        <v>MTI-P-033</v>
      </c>
      <c r="D5" s="16">
        <v>44917</v>
      </c>
      <c r="E5" s="16"/>
      <c r="F5" s="1" t="s">
        <v>716</v>
      </c>
      <c r="G5" s="1" t="s">
        <v>426</v>
      </c>
      <c r="H5" s="1" t="s">
        <v>87</v>
      </c>
      <c r="I5" s="1">
        <v>21</v>
      </c>
      <c r="J5" s="1">
        <v>55</v>
      </c>
      <c r="K5" s="1">
        <v>37</v>
      </c>
      <c r="L5" s="1" t="s">
        <v>41</v>
      </c>
      <c r="M5" s="1"/>
      <c r="N5" s="1" t="s">
        <v>41</v>
      </c>
      <c r="O5" s="1"/>
      <c r="P5" s="1" t="s">
        <v>41</v>
      </c>
      <c r="Q5" s="1"/>
      <c r="R5" s="1" t="s">
        <v>41</v>
      </c>
      <c r="S5" s="1"/>
      <c r="T5" s="1" t="s">
        <v>41</v>
      </c>
      <c r="U5" s="1"/>
      <c r="V5" s="1" t="s">
        <v>41</v>
      </c>
      <c r="W5" s="1"/>
      <c r="X5" s="1" t="s">
        <v>41</v>
      </c>
      <c r="Y5" s="1"/>
      <c r="Z5" s="1" t="s">
        <v>41</v>
      </c>
      <c r="AA5" s="1"/>
      <c r="AB5" s="1" t="s">
        <v>68</v>
      </c>
      <c r="AC5" s="1"/>
      <c r="AD5" s="1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</row>
    <row r="6" spans="1:49" ht="15" customHeight="1" x14ac:dyDescent="0.3">
      <c r="A6" s="1">
        <v>5</v>
      </c>
      <c r="B6" s="1" t="s">
        <v>376</v>
      </c>
      <c r="C6" s="1" t="str">
        <f t="shared" si="0"/>
        <v>MTI-P-031</v>
      </c>
      <c r="D6" s="16">
        <v>44916</v>
      </c>
      <c r="E6" s="16"/>
      <c r="F6" s="1" t="s">
        <v>716</v>
      </c>
      <c r="G6" s="1" t="s">
        <v>377</v>
      </c>
      <c r="H6" s="1" t="s">
        <v>36</v>
      </c>
      <c r="I6" s="1">
        <v>36</v>
      </c>
      <c r="J6" s="1">
        <v>59</v>
      </c>
      <c r="K6" s="1">
        <v>37</v>
      </c>
      <c r="L6" s="1" t="s">
        <v>41</v>
      </c>
      <c r="M6" s="1"/>
      <c r="N6" s="1" t="s">
        <v>41</v>
      </c>
      <c r="O6" s="1"/>
      <c r="P6" s="1" t="s">
        <v>41</v>
      </c>
      <c r="Q6" s="1"/>
      <c r="R6" s="1" t="s">
        <v>41</v>
      </c>
      <c r="S6" s="1"/>
      <c r="T6" s="1" t="s">
        <v>41</v>
      </c>
      <c r="U6" s="1"/>
      <c r="V6" s="1" t="s">
        <v>41</v>
      </c>
      <c r="W6" s="1"/>
      <c r="X6" s="1" t="s">
        <v>41</v>
      </c>
      <c r="Y6" s="1"/>
      <c r="Z6" s="1" t="s">
        <v>41</v>
      </c>
      <c r="AA6" s="1"/>
      <c r="AB6" s="1" t="s">
        <v>68</v>
      </c>
      <c r="AC6" s="1"/>
      <c r="AD6" s="1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</row>
    <row r="7" spans="1:49" ht="15" customHeight="1" x14ac:dyDescent="0.3">
      <c r="A7" s="1">
        <v>6</v>
      </c>
      <c r="B7" s="1" t="s">
        <v>367</v>
      </c>
      <c r="C7" s="1" t="str">
        <f t="shared" si="0"/>
        <v>MTI-P-034</v>
      </c>
      <c r="D7" s="16">
        <v>44915</v>
      </c>
      <c r="E7" s="16"/>
      <c r="F7" s="1" t="s">
        <v>716</v>
      </c>
      <c r="G7" s="1" t="s">
        <v>420</v>
      </c>
      <c r="H7" s="1" t="s">
        <v>36</v>
      </c>
      <c r="I7" s="1">
        <v>44</v>
      </c>
      <c r="J7" s="1">
        <v>44</v>
      </c>
      <c r="K7" s="1">
        <v>59</v>
      </c>
      <c r="L7" s="1" t="s">
        <v>41</v>
      </c>
      <c r="M7" s="1"/>
      <c r="N7" s="1" t="s">
        <v>41</v>
      </c>
      <c r="O7" s="1"/>
      <c r="P7" s="1" t="s">
        <v>41</v>
      </c>
      <c r="Q7" s="1"/>
      <c r="R7" s="1" t="s">
        <v>41</v>
      </c>
      <c r="S7" s="1"/>
      <c r="T7" s="1" t="s">
        <v>41</v>
      </c>
      <c r="U7" s="1"/>
      <c r="V7" s="1" t="s">
        <v>41</v>
      </c>
      <c r="W7" s="1"/>
      <c r="X7" s="1" t="s">
        <v>41</v>
      </c>
      <c r="Y7" s="1"/>
      <c r="Z7" s="1" t="s">
        <v>41</v>
      </c>
      <c r="AA7" s="1"/>
      <c r="AB7" s="1" t="s">
        <v>68</v>
      </c>
      <c r="AC7" s="1"/>
      <c r="AD7" s="1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spans="1:49" ht="15" customHeight="1" x14ac:dyDescent="0.3">
      <c r="A8" s="1">
        <v>7</v>
      </c>
      <c r="B8" s="1" t="s">
        <v>373</v>
      </c>
      <c r="C8" s="1" t="str">
        <f t="shared" si="0"/>
        <v>MTI-P-032</v>
      </c>
      <c r="D8" s="16">
        <v>44907</v>
      </c>
      <c r="E8" s="16"/>
      <c r="F8" s="1" t="s">
        <v>716</v>
      </c>
      <c r="G8" s="1" t="s">
        <v>375</v>
      </c>
      <c r="H8" s="1" t="s">
        <v>36</v>
      </c>
      <c r="I8" s="1">
        <v>25</v>
      </c>
      <c r="J8" s="1">
        <v>60</v>
      </c>
      <c r="K8" s="1">
        <v>37</v>
      </c>
      <c r="L8" s="1" t="s">
        <v>41</v>
      </c>
      <c r="M8" s="1"/>
      <c r="N8" s="1" t="s">
        <v>41</v>
      </c>
      <c r="O8" s="1"/>
      <c r="P8" s="1" t="s">
        <v>41</v>
      </c>
      <c r="Q8" s="1"/>
      <c r="R8" s="1" t="s">
        <v>41</v>
      </c>
      <c r="S8" s="1"/>
      <c r="T8" s="1" t="s">
        <v>41</v>
      </c>
      <c r="U8" s="1"/>
      <c r="V8" s="1" t="s">
        <v>41</v>
      </c>
      <c r="W8" s="1"/>
      <c r="X8" s="1" t="s">
        <v>41</v>
      </c>
      <c r="Y8" s="1"/>
      <c r="Z8" s="1" t="s">
        <v>41</v>
      </c>
      <c r="AA8" s="1"/>
      <c r="AB8" s="1" t="s">
        <v>68</v>
      </c>
      <c r="AC8" s="1"/>
      <c r="AD8" s="1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</row>
    <row r="9" spans="1:49" ht="15" customHeight="1" x14ac:dyDescent="0.3">
      <c r="A9" s="1">
        <v>8</v>
      </c>
      <c r="B9" s="1" t="s">
        <v>379</v>
      </c>
      <c r="C9" s="1" t="str">
        <f t="shared" si="0"/>
        <v>MTI-P-030</v>
      </c>
      <c r="D9" s="16">
        <v>44902</v>
      </c>
      <c r="E9" s="16"/>
      <c r="F9" s="1" t="s">
        <v>716</v>
      </c>
      <c r="G9" s="1" t="s">
        <v>380</v>
      </c>
      <c r="H9" s="1" t="s">
        <v>36</v>
      </c>
      <c r="I9" s="1">
        <v>19</v>
      </c>
      <c r="J9" s="1">
        <v>55</v>
      </c>
      <c r="K9" s="1">
        <v>37</v>
      </c>
      <c r="L9" s="1" t="s">
        <v>41</v>
      </c>
      <c r="M9" s="1"/>
      <c r="N9" s="1" t="s">
        <v>41</v>
      </c>
      <c r="O9" s="1"/>
      <c r="P9" s="1" t="s">
        <v>41</v>
      </c>
      <c r="Q9" s="1"/>
      <c r="R9" s="1" t="s">
        <v>41</v>
      </c>
      <c r="S9" s="1"/>
      <c r="T9" s="1" t="s">
        <v>41</v>
      </c>
      <c r="U9" s="1"/>
      <c r="V9" s="1" t="s">
        <v>41</v>
      </c>
      <c r="W9" s="1"/>
      <c r="X9" s="1" t="s">
        <v>41</v>
      </c>
      <c r="Y9" s="1"/>
      <c r="Z9" s="1" t="s">
        <v>41</v>
      </c>
      <c r="AA9" s="1"/>
      <c r="AB9" s="1" t="s">
        <v>68</v>
      </c>
      <c r="AC9" s="1"/>
      <c r="AD9" s="1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</row>
    <row r="10" spans="1:49" ht="15" customHeight="1" x14ac:dyDescent="0.3">
      <c r="A10" s="1">
        <v>9</v>
      </c>
      <c r="B10" s="1" t="s">
        <v>385</v>
      </c>
      <c r="C10" s="1" t="str">
        <f t="shared" si="0"/>
        <v>MTI-P-028</v>
      </c>
      <c r="D10" s="16">
        <v>44897</v>
      </c>
      <c r="E10" s="16"/>
      <c r="F10" s="1" t="s">
        <v>716</v>
      </c>
      <c r="G10" s="1" t="s">
        <v>386</v>
      </c>
      <c r="H10" s="1" t="s">
        <v>36</v>
      </c>
      <c r="I10" s="1">
        <v>30</v>
      </c>
      <c r="J10" s="1">
        <v>66</v>
      </c>
      <c r="K10" s="1">
        <v>37</v>
      </c>
      <c r="L10" s="1" t="s">
        <v>41</v>
      </c>
      <c r="M10" s="1"/>
      <c r="N10" s="1" t="s">
        <v>41</v>
      </c>
      <c r="O10" s="1"/>
      <c r="P10" s="1" t="s">
        <v>41</v>
      </c>
      <c r="Q10" s="1"/>
      <c r="R10" s="1" t="s">
        <v>41</v>
      </c>
      <c r="S10" s="1"/>
      <c r="T10" s="1" t="s">
        <v>41</v>
      </c>
      <c r="U10" s="1"/>
      <c r="V10" s="1" t="s">
        <v>41</v>
      </c>
      <c r="W10" s="1"/>
      <c r="X10" s="1" t="s">
        <v>41</v>
      </c>
      <c r="Y10" s="1"/>
      <c r="Z10" s="1" t="s">
        <v>41</v>
      </c>
      <c r="AA10" s="1"/>
      <c r="AB10" s="1" t="s">
        <v>68</v>
      </c>
      <c r="AC10" s="1"/>
      <c r="AD10" s="1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</row>
    <row r="11" spans="1:49" ht="15" customHeight="1" x14ac:dyDescent="0.3">
      <c r="A11" s="1">
        <v>10</v>
      </c>
      <c r="B11" s="1" t="s">
        <v>389</v>
      </c>
      <c r="C11" s="1" t="str">
        <f t="shared" si="0"/>
        <v>MTI-P-027</v>
      </c>
      <c r="D11" s="16">
        <v>44853</v>
      </c>
      <c r="E11" s="16"/>
      <c r="F11" s="1" t="s">
        <v>716</v>
      </c>
      <c r="G11" s="1" t="s">
        <v>390</v>
      </c>
      <c r="H11" s="1" t="s">
        <v>36</v>
      </c>
      <c r="I11" s="1">
        <v>44</v>
      </c>
      <c r="J11" s="1">
        <v>43</v>
      </c>
      <c r="K11" s="1">
        <v>37</v>
      </c>
      <c r="L11" s="1" t="s">
        <v>38</v>
      </c>
      <c r="M11" s="1" t="s">
        <v>51</v>
      </c>
      <c r="N11" s="1" t="s">
        <v>41</v>
      </c>
      <c r="O11" s="1"/>
      <c r="P11" s="1" t="s">
        <v>41</v>
      </c>
      <c r="Q11" s="1"/>
      <c r="R11" s="1" t="s">
        <v>41</v>
      </c>
      <c r="S11" s="1"/>
      <c r="T11" s="1" t="s">
        <v>41</v>
      </c>
      <c r="U11" s="1"/>
      <c r="V11" s="1" t="s">
        <v>38</v>
      </c>
      <c r="W11" s="1" t="s">
        <v>53</v>
      </c>
      <c r="X11" s="1" t="s">
        <v>41</v>
      </c>
      <c r="Y11" s="1"/>
      <c r="Z11" s="1" t="s">
        <v>41</v>
      </c>
      <c r="AA11" s="1"/>
      <c r="AB11" s="1" t="s">
        <v>37</v>
      </c>
      <c r="AC11" s="1" t="s">
        <v>38</v>
      </c>
      <c r="AD11" s="1" t="s">
        <v>719</v>
      </c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</row>
    <row r="12" spans="1:49" ht="15" customHeight="1" x14ac:dyDescent="0.3">
      <c r="A12" s="1">
        <v>11</v>
      </c>
      <c r="B12" s="1" t="s">
        <v>410</v>
      </c>
      <c r="C12" s="1" t="str">
        <f t="shared" si="0"/>
        <v>MTI-P-017</v>
      </c>
      <c r="D12" s="1" t="s">
        <v>720</v>
      </c>
      <c r="E12" s="1"/>
      <c r="F12" s="1" t="s">
        <v>714</v>
      </c>
      <c r="G12" s="1" t="s">
        <v>411</v>
      </c>
      <c r="H12" s="1" t="s">
        <v>36</v>
      </c>
      <c r="I12" s="1">
        <v>49</v>
      </c>
      <c r="J12" s="1">
        <v>67</v>
      </c>
      <c r="K12" s="1">
        <v>37</v>
      </c>
      <c r="L12" s="1" t="s">
        <v>41</v>
      </c>
      <c r="M12" s="1"/>
      <c r="N12" s="1" t="s">
        <v>41</v>
      </c>
      <c r="O12" s="1"/>
      <c r="P12" s="1" t="s">
        <v>41</v>
      </c>
      <c r="Q12" s="1"/>
      <c r="R12" s="1" t="s">
        <v>41</v>
      </c>
      <c r="S12" s="1"/>
      <c r="T12" s="1" t="s">
        <v>41</v>
      </c>
      <c r="U12" s="1"/>
      <c r="V12" s="1" t="s">
        <v>41</v>
      </c>
      <c r="W12" s="1"/>
      <c r="X12" s="1" t="s">
        <v>41</v>
      </c>
      <c r="Y12" s="1"/>
      <c r="Z12" s="1" t="s">
        <v>41</v>
      </c>
      <c r="AA12" s="1"/>
      <c r="AB12" s="1" t="s">
        <v>68</v>
      </c>
      <c r="AC12" s="1"/>
      <c r="AD12" s="1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</row>
    <row r="13" spans="1:49" ht="15" customHeight="1" x14ac:dyDescent="0.3">
      <c r="A13" s="1">
        <v>12</v>
      </c>
      <c r="B13" s="1" t="s">
        <v>410</v>
      </c>
      <c r="C13" s="1" t="str">
        <f t="shared" si="0"/>
        <v>MTI-P-017</v>
      </c>
      <c r="D13" s="1" t="s">
        <v>721</v>
      </c>
      <c r="E13" s="1"/>
      <c r="F13" s="1" t="s">
        <v>716</v>
      </c>
      <c r="G13" s="1" t="s">
        <v>722</v>
      </c>
      <c r="H13" s="1" t="s">
        <v>36</v>
      </c>
      <c r="I13" s="1">
        <v>49</v>
      </c>
      <c r="J13" s="1">
        <v>68</v>
      </c>
      <c r="K13" s="1">
        <v>37</v>
      </c>
      <c r="L13" s="1" t="s">
        <v>41</v>
      </c>
      <c r="M13" s="1"/>
      <c r="N13" s="1" t="s">
        <v>41</v>
      </c>
      <c r="O13" s="1"/>
      <c r="P13" s="1" t="s">
        <v>41</v>
      </c>
      <c r="Q13" s="1"/>
      <c r="R13" s="1" t="s">
        <v>41</v>
      </c>
      <c r="S13" s="1"/>
      <c r="T13" s="1" t="s">
        <v>41</v>
      </c>
      <c r="U13" s="1"/>
      <c r="V13" s="1" t="s">
        <v>41</v>
      </c>
      <c r="W13" s="1"/>
      <c r="X13" s="1" t="s">
        <v>41</v>
      </c>
      <c r="Y13" s="1"/>
      <c r="Z13" s="1" t="s">
        <v>41</v>
      </c>
      <c r="AA13" s="1"/>
      <c r="AB13" s="1" t="s">
        <v>68</v>
      </c>
      <c r="AC13" s="1"/>
      <c r="AD13" s="1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</row>
    <row r="14" spans="1:49" ht="15" customHeight="1" x14ac:dyDescent="0.3">
      <c r="A14" s="1">
        <v>13</v>
      </c>
      <c r="B14" s="1" t="s">
        <v>409</v>
      </c>
      <c r="C14" s="1" t="str">
        <f t="shared" si="0"/>
        <v>MTI-P-018</v>
      </c>
      <c r="D14" s="1" t="s">
        <v>723</v>
      </c>
      <c r="E14" s="1"/>
      <c r="F14" s="1" t="s">
        <v>714</v>
      </c>
      <c r="G14" s="1" t="s">
        <v>394</v>
      </c>
      <c r="H14" s="1" t="s">
        <v>36</v>
      </c>
      <c r="I14" s="1">
        <v>25</v>
      </c>
      <c r="J14" s="1">
        <v>25</v>
      </c>
      <c r="K14" s="1">
        <v>37</v>
      </c>
      <c r="L14" s="1" t="s">
        <v>41</v>
      </c>
      <c r="M14" s="1"/>
      <c r="N14" s="1" t="s">
        <v>41</v>
      </c>
      <c r="O14" s="1"/>
      <c r="P14" s="1" t="s">
        <v>41</v>
      </c>
      <c r="Q14" s="1"/>
      <c r="R14" s="1" t="s">
        <v>41</v>
      </c>
      <c r="S14" s="1"/>
      <c r="T14" s="1" t="s">
        <v>41</v>
      </c>
      <c r="U14" s="1"/>
      <c r="V14" s="1" t="s">
        <v>41</v>
      </c>
      <c r="W14" s="1"/>
      <c r="X14" s="1" t="s">
        <v>41</v>
      </c>
      <c r="Y14" s="1"/>
      <c r="Z14" s="1" t="s">
        <v>41</v>
      </c>
      <c r="AA14" s="1"/>
      <c r="AB14" s="1" t="s">
        <v>68</v>
      </c>
      <c r="AC14" s="1"/>
      <c r="AD14" s="1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</row>
    <row r="15" spans="1:49" ht="15" customHeight="1" x14ac:dyDescent="0.3">
      <c r="A15" s="1">
        <v>14</v>
      </c>
      <c r="B15" s="1" t="s">
        <v>407</v>
      </c>
      <c r="C15" s="1" t="str">
        <f t="shared" si="0"/>
        <v>MTI-P-019</v>
      </c>
      <c r="D15" s="1" t="s">
        <v>724</v>
      </c>
      <c r="E15" s="1"/>
      <c r="F15" s="1" t="s">
        <v>716</v>
      </c>
      <c r="G15" s="1" t="s">
        <v>408</v>
      </c>
      <c r="H15" s="1" t="s">
        <v>87</v>
      </c>
      <c r="I15" s="1">
        <v>28</v>
      </c>
      <c r="J15" s="1">
        <v>51</v>
      </c>
      <c r="K15" s="1">
        <v>37</v>
      </c>
      <c r="L15" s="1" t="s">
        <v>38</v>
      </c>
      <c r="M15" s="1" t="s">
        <v>65</v>
      </c>
      <c r="N15" s="1" t="s">
        <v>41</v>
      </c>
      <c r="O15" s="1"/>
      <c r="P15" s="1" t="s">
        <v>41</v>
      </c>
      <c r="Q15" s="1"/>
      <c r="R15" s="1" t="s">
        <v>41</v>
      </c>
      <c r="S15" s="1"/>
      <c r="T15" s="1" t="s">
        <v>41</v>
      </c>
      <c r="U15" s="1"/>
      <c r="V15" s="1" t="s">
        <v>41</v>
      </c>
      <c r="W15" s="1"/>
      <c r="X15" s="1" t="s">
        <v>41</v>
      </c>
      <c r="Y15" s="1"/>
      <c r="Z15" s="1" t="s">
        <v>38</v>
      </c>
      <c r="AA15" s="1" t="s">
        <v>725</v>
      </c>
      <c r="AB15" s="1" t="s">
        <v>68</v>
      </c>
      <c r="AC15" s="1"/>
      <c r="AD15" s="1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</row>
    <row r="16" spans="1:49" ht="15" customHeight="1" x14ac:dyDescent="0.3">
      <c r="A16" s="1">
        <v>15</v>
      </c>
      <c r="B16" s="1" t="s">
        <v>407</v>
      </c>
      <c r="C16" s="1" t="str">
        <f t="shared" si="0"/>
        <v>MTI-P-019</v>
      </c>
      <c r="D16" s="1" t="s">
        <v>720</v>
      </c>
      <c r="E16" s="1"/>
      <c r="F16" s="1" t="s">
        <v>714</v>
      </c>
      <c r="G16" s="1" t="s">
        <v>408</v>
      </c>
      <c r="H16" s="1" t="s">
        <v>87</v>
      </c>
      <c r="I16" s="1">
        <v>27</v>
      </c>
      <c r="J16" s="1">
        <v>53</v>
      </c>
      <c r="K16" s="1">
        <v>37</v>
      </c>
      <c r="L16" s="1" t="s">
        <v>41</v>
      </c>
      <c r="M16" s="1"/>
      <c r="N16" s="1" t="s">
        <v>41</v>
      </c>
      <c r="O16" s="1"/>
      <c r="P16" s="1" t="s">
        <v>41</v>
      </c>
      <c r="Q16" s="1"/>
      <c r="R16" s="1" t="s">
        <v>41</v>
      </c>
      <c r="S16" s="1"/>
      <c r="T16" s="1" t="s">
        <v>41</v>
      </c>
      <c r="U16" s="1"/>
      <c r="V16" s="1" t="s">
        <v>38</v>
      </c>
      <c r="W16" s="1" t="s">
        <v>53</v>
      </c>
      <c r="X16" s="1" t="s">
        <v>41</v>
      </c>
      <c r="Y16" s="1"/>
      <c r="Z16" s="1" t="s">
        <v>41</v>
      </c>
      <c r="AA16" s="1"/>
      <c r="AB16" s="1" t="s">
        <v>68</v>
      </c>
      <c r="AC16" s="1"/>
      <c r="AD16" s="1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</row>
    <row r="17" spans="1:49" ht="15" customHeight="1" x14ac:dyDescent="0.3">
      <c r="A17" s="1">
        <v>16</v>
      </c>
      <c r="B17" s="1" t="s">
        <v>413</v>
      </c>
      <c r="C17" s="1" t="str">
        <f t="shared" si="0"/>
        <v>MTI-P-016</v>
      </c>
      <c r="D17" s="1" t="s">
        <v>726</v>
      </c>
      <c r="E17" s="1"/>
      <c r="F17" s="1" t="s">
        <v>714</v>
      </c>
      <c r="G17" s="1" t="s">
        <v>493</v>
      </c>
      <c r="H17" s="1" t="s">
        <v>36</v>
      </c>
      <c r="I17" s="1">
        <v>31</v>
      </c>
      <c r="J17" s="1">
        <v>64</v>
      </c>
      <c r="K17" s="1">
        <v>38</v>
      </c>
      <c r="L17" s="1" t="s">
        <v>41</v>
      </c>
      <c r="M17" s="1"/>
      <c r="N17" s="1" t="s">
        <v>41</v>
      </c>
      <c r="O17" s="1"/>
      <c r="P17" s="1" t="s">
        <v>41</v>
      </c>
      <c r="Q17" s="1"/>
      <c r="R17" s="1" t="s">
        <v>41</v>
      </c>
      <c r="S17" s="1"/>
      <c r="T17" s="1" t="s">
        <v>41</v>
      </c>
      <c r="U17" s="1"/>
      <c r="V17" s="1" t="s">
        <v>41</v>
      </c>
      <c r="W17" s="1"/>
      <c r="X17" s="1" t="s">
        <v>41</v>
      </c>
      <c r="Y17" s="1"/>
      <c r="Z17" s="1" t="s">
        <v>41</v>
      </c>
      <c r="AA17" s="1"/>
      <c r="AB17" s="1" t="s">
        <v>68</v>
      </c>
      <c r="AC17" s="1"/>
      <c r="AD17" s="1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</row>
    <row r="18" spans="1:49" ht="15" customHeight="1" x14ac:dyDescent="0.3">
      <c r="A18" s="1">
        <v>17</v>
      </c>
      <c r="B18" s="1" t="s">
        <v>413</v>
      </c>
      <c r="C18" s="1" t="str">
        <f t="shared" si="0"/>
        <v>MTI-P-016</v>
      </c>
      <c r="D18" s="1" t="s">
        <v>727</v>
      </c>
      <c r="E18" s="1"/>
      <c r="F18" s="1" t="s">
        <v>716</v>
      </c>
      <c r="G18" s="1" t="s">
        <v>493</v>
      </c>
      <c r="H18" s="1" t="s">
        <v>36</v>
      </c>
      <c r="I18" s="1">
        <v>31</v>
      </c>
      <c r="J18" s="1">
        <v>51</v>
      </c>
      <c r="K18" s="1">
        <v>38</v>
      </c>
      <c r="L18" s="1" t="s">
        <v>41</v>
      </c>
      <c r="M18" s="1"/>
      <c r="N18" s="1" t="s">
        <v>41</v>
      </c>
      <c r="O18" s="1"/>
      <c r="P18" s="1" t="s">
        <v>41</v>
      </c>
      <c r="Q18" s="1"/>
      <c r="R18" s="1" t="s">
        <v>41</v>
      </c>
      <c r="S18" s="1"/>
      <c r="T18" s="1" t="s">
        <v>41</v>
      </c>
      <c r="U18" s="1"/>
      <c r="V18" s="1" t="s">
        <v>38</v>
      </c>
      <c r="W18" s="1" t="s">
        <v>51</v>
      </c>
      <c r="X18" s="1" t="s">
        <v>41</v>
      </c>
      <c r="Y18" s="1"/>
      <c r="Z18" s="1" t="s">
        <v>41</v>
      </c>
      <c r="AA18" s="1"/>
      <c r="AB18" s="1" t="s">
        <v>68</v>
      </c>
      <c r="AC18" s="1"/>
      <c r="AD18" s="1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</row>
    <row r="19" spans="1:49" ht="15" customHeight="1" x14ac:dyDescent="0.3">
      <c r="A19" s="1">
        <v>18</v>
      </c>
      <c r="B19" s="1" t="s">
        <v>728</v>
      </c>
      <c r="C19" s="1" t="str">
        <f t="shared" ref="C19:C25" si="1">LEFT(B19, SEARCH("(", B19) - 2)</f>
        <v>MTI-P-0022-KSY</v>
      </c>
      <c r="D19" s="16">
        <v>44657</v>
      </c>
      <c r="E19" s="16"/>
      <c r="F19" s="1" t="s">
        <v>729</v>
      </c>
      <c r="G19" s="1" t="s">
        <v>730</v>
      </c>
      <c r="H19" s="1" t="s">
        <v>87</v>
      </c>
      <c r="I19" s="1">
        <v>32</v>
      </c>
      <c r="J19" s="1">
        <v>65</v>
      </c>
      <c r="K19" s="1">
        <v>37</v>
      </c>
      <c r="L19" s="1" t="s">
        <v>41</v>
      </c>
      <c r="M19" s="1"/>
      <c r="N19" s="1" t="s">
        <v>41</v>
      </c>
      <c r="O19" s="1"/>
      <c r="P19" s="1" t="s">
        <v>41</v>
      </c>
      <c r="Q19" s="1"/>
      <c r="R19" s="1" t="s">
        <v>41</v>
      </c>
      <c r="S19" s="1"/>
      <c r="T19" s="1" t="s">
        <v>41</v>
      </c>
      <c r="U19" s="1"/>
      <c r="V19" s="1" t="s">
        <v>41</v>
      </c>
      <c r="W19" s="1"/>
      <c r="X19" s="1" t="s">
        <v>41</v>
      </c>
      <c r="Y19" s="1"/>
      <c r="Z19" s="1" t="s">
        <v>41</v>
      </c>
      <c r="AA19" s="1"/>
      <c r="AB19" s="1" t="s">
        <v>68</v>
      </c>
      <c r="AC19" s="1"/>
      <c r="AD19" s="1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</row>
    <row r="20" spans="1:49" ht="15" customHeight="1" x14ac:dyDescent="0.3">
      <c r="A20" s="1">
        <v>19</v>
      </c>
      <c r="B20" s="1" t="s">
        <v>731</v>
      </c>
      <c r="C20" s="1" t="str">
        <f t="shared" si="1"/>
        <v>MTI-P-0023-KSY</v>
      </c>
      <c r="D20" s="16">
        <v>44658</v>
      </c>
      <c r="E20" s="16"/>
      <c r="F20" s="1" t="s">
        <v>716</v>
      </c>
      <c r="G20" s="35" t="s">
        <v>459</v>
      </c>
      <c r="H20" s="1" t="s">
        <v>36</v>
      </c>
      <c r="I20" s="1">
        <v>19</v>
      </c>
      <c r="J20" s="1">
        <v>48</v>
      </c>
      <c r="K20" s="1">
        <v>36</v>
      </c>
      <c r="L20" s="1" t="s">
        <v>38</v>
      </c>
      <c r="M20" s="1" t="s">
        <v>53</v>
      </c>
      <c r="N20" s="1" t="s">
        <v>41</v>
      </c>
      <c r="O20" s="1"/>
      <c r="P20" s="1" t="s">
        <v>41</v>
      </c>
      <c r="Q20" s="1"/>
      <c r="R20" s="1" t="s">
        <v>41</v>
      </c>
      <c r="S20" s="1"/>
      <c r="T20" s="1" t="s">
        <v>41</v>
      </c>
      <c r="U20" s="1"/>
      <c r="V20" s="1" t="s">
        <v>41</v>
      </c>
      <c r="W20" s="1"/>
      <c r="X20" s="1" t="s">
        <v>41</v>
      </c>
      <c r="Y20" s="1"/>
      <c r="Z20" s="1" t="s">
        <v>41</v>
      </c>
      <c r="AA20" s="1"/>
      <c r="AB20" s="1" t="s">
        <v>68</v>
      </c>
      <c r="AC20" s="1"/>
      <c r="AD20" s="1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</row>
    <row r="21" spans="1:49" ht="15" customHeight="1" x14ac:dyDescent="0.3">
      <c r="A21" s="1">
        <v>20</v>
      </c>
      <c r="B21" s="1" t="s">
        <v>732</v>
      </c>
      <c r="C21" s="1" t="str">
        <f t="shared" si="1"/>
        <v>MTI-P-0024-KSY</v>
      </c>
      <c r="D21" s="16">
        <v>44662</v>
      </c>
      <c r="E21" s="16"/>
      <c r="F21" s="1" t="s">
        <v>716</v>
      </c>
      <c r="G21" s="1" t="s">
        <v>414</v>
      </c>
      <c r="H21" s="1" t="s">
        <v>36</v>
      </c>
      <c r="I21" s="1">
        <v>21</v>
      </c>
      <c r="J21" s="1"/>
      <c r="K21" s="1">
        <v>38</v>
      </c>
      <c r="L21" s="1" t="s">
        <v>38</v>
      </c>
      <c r="M21" s="1" t="s">
        <v>146</v>
      </c>
      <c r="N21" s="1" t="s">
        <v>38</v>
      </c>
      <c r="O21" s="1" t="s">
        <v>51</v>
      </c>
      <c r="P21" s="1" t="s">
        <v>38</v>
      </c>
      <c r="Q21" s="1" t="s">
        <v>43</v>
      </c>
      <c r="R21" s="1" t="s">
        <v>38</v>
      </c>
      <c r="S21" s="1" t="s">
        <v>43</v>
      </c>
      <c r="T21" s="1" t="s">
        <v>38</v>
      </c>
      <c r="U21" s="1" t="s">
        <v>146</v>
      </c>
      <c r="V21" s="1" t="s">
        <v>38</v>
      </c>
      <c r="W21" s="1" t="s">
        <v>146</v>
      </c>
      <c r="X21" s="1" t="s">
        <v>38</v>
      </c>
      <c r="Y21" s="1" t="s">
        <v>53</v>
      </c>
      <c r="Z21" s="1" t="s">
        <v>208</v>
      </c>
      <c r="AA21" s="1"/>
      <c r="AB21" s="1" t="s">
        <v>68</v>
      </c>
      <c r="AC21" s="1"/>
      <c r="AD21" s="1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</row>
    <row r="22" spans="1:49" ht="15" customHeight="1" x14ac:dyDescent="0.3">
      <c r="A22" s="1">
        <v>21</v>
      </c>
      <c r="B22" s="1" t="s">
        <v>733</v>
      </c>
      <c r="C22" s="1" t="str">
        <f t="shared" si="1"/>
        <v>MTI-P-009-KSY</v>
      </c>
      <c r="D22" s="19">
        <v>44642</v>
      </c>
      <c r="E22" s="19"/>
      <c r="F22" s="1" t="s">
        <v>716</v>
      </c>
      <c r="G22" s="1" t="s">
        <v>465</v>
      </c>
      <c r="H22" s="1" t="s">
        <v>36</v>
      </c>
      <c r="I22" s="1">
        <v>29</v>
      </c>
      <c r="J22" s="1">
        <v>54</v>
      </c>
      <c r="K22" s="1">
        <v>36</v>
      </c>
      <c r="L22" s="1" t="s">
        <v>38</v>
      </c>
      <c r="M22" s="1" t="s">
        <v>65</v>
      </c>
      <c r="N22" s="1" t="s">
        <v>38</v>
      </c>
      <c r="O22" s="1" t="s">
        <v>65</v>
      </c>
      <c r="P22" s="1" t="s">
        <v>41</v>
      </c>
      <c r="Q22" s="1"/>
      <c r="R22" s="1" t="s">
        <v>38</v>
      </c>
      <c r="S22" s="1" t="s">
        <v>65</v>
      </c>
      <c r="T22" s="1" t="s">
        <v>41</v>
      </c>
      <c r="U22" s="1"/>
      <c r="V22" s="1" t="s">
        <v>38</v>
      </c>
      <c r="W22" s="1" t="s">
        <v>65</v>
      </c>
      <c r="X22" s="1" t="s">
        <v>41</v>
      </c>
      <c r="Y22" s="1"/>
      <c r="Z22" s="1" t="s">
        <v>41</v>
      </c>
      <c r="AA22" s="1"/>
      <c r="AB22" s="1" t="s">
        <v>68</v>
      </c>
      <c r="AC22" s="1"/>
      <c r="AD22" s="1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</row>
    <row r="23" spans="1:49" ht="15" customHeight="1" x14ac:dyDescent="0.3">
      <c r="A23" s="1">
        <v>22</v>
      </c>
      <c r="B23" s="1" t="s">
        <v>734</v>
      </c>
      <c r="C23" s="1" t="str">
        <f t="shared" si="1"/>
        <v>MTI-P-0029-KSY</v>
      </c>
      <c r="D23" s="19">
        <v>44711</v>
      </c>
      <c r="E23" s="19"/>
      <c r="F23" s="1" t="s">
        <v>716</v>
      </c>
      <c r="G23" s="1" t="s">
        <v>520</v>
      </c>
      <c r="H23" s="1" t="s">
        <v>87</v>
      </c>
      <c r="I23" s="1">
        <v>37</v>
      </c>
      <c r="J23" s="1">
        <v>65</v>
      </c>
      <c r="K23" s="1">
        <v>37</v>
      </c>
      <c r="L23" s="1" t="s">
        <v>41</v>
      </c>
      <c r="M23" s="1"/>
      <c r="N23" s="1" t="s">
        <v>41</v>
      </c>
      <c r="O23" s="1"/>
      <c r="P23" s="1" t="s">
        <v>41</v>
      </c>
      <c r="Q23" s="1"/>
      <c r="R23" s="1" t="s">
        <v>41</v>
      </c>
      <c r="S23" s="1"/>
      <c r="T23" s="1" t="s">
        <v>41</v>
      </c>
      <c r="U23" s="1"/>
      <c r="V23" s="1" t="s">
        <v>38</v>
      </c>
      <c r="W23" s="1" t="s">
        <v>53</v>
      </c>
      <c r="X23" s="1" t="s">
        <v>41</v>
      </c>
      <c r="Y23" s="1"/>
      <c r="Z23" s="1" t="s">
        <v>41</v>
      </c>
      <c r="AA23" s="1"/>
      <c r="AB23" s="1" t="s">
        <v>68</v>
      </c>
      <c r="AC23" s="1"/>
      <c r="AD23" s="1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</row>
    <row r="24" spans="1:49" ht="15" customHeight="1" x14ac:dyDescent="0.3">
      <c r="A24" s="1">
        <v>23</v>
      </c>
      <c r="B24" s="1" t="s">
        <v>735</v>
      </c>
      <c r="C24" s="1" t="str">
        <f t="shared" si="1"/>
        <v>MTI-P-0030-KSY</v>
      </c>
      <c r="D24" s="19">
        <v>44697</v>
      </c>
      <c r="E24" s="19"/>
      <c r="F24" s="1" t="s">
        <v>716</v>
      </c>
      <c r="G24" s="1" t="s">
        <v>736</v>
      </c>
      <c r="H24" s="1" t="s">
        <v>36</v>
      </c>
      <c r="I24" s="1">
        <v>21</v>
      </c>
      <c r="J24" s="1">
        <v>53</v>
      </c>
      <c r="K24" s="1">
        <v>37</v>
      </c>
      <c r="L24" s="1" t="s">
        <v>41</v>
      </c>
      <c r="M24" s="1"/>
      <c r="N24" s="1" t="s">
        <v>38</v>
      </c>
      <c r="O24" s="1" t="s">
        <v>43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</row>
    <row r="25" spans="1:49" ht="15" customHeight="1" x14ac:dyDescent="0.3">
      <c r="A25" s="1">
        <v>24</v>
      </c>
      <c r="B25" s="1" t="s">
        <v>737</v>
      </c>
      <c r="C25" s="1" t="str">
        <f t="shared" si="1"/>
        <v>MTI-P-0031-KSY</v>
      </c>
      <c r="D25" s="19">
        <v>44697</v>
      </c>
      <c r="E25" s="19"/>
      <c r="F25" s="1" t="s">
        <v>716</v>
      </c>
      <c r="G25" s="1" t="s">
        <v>738</v>
      </c>
      <c r="H25" s="1" t="s">
        <v>36</v>
      </c>
      <c r="I25" s="1">
        <v>30</v>
      </c>
      <c r="J25" s="1">
        <v>55</v>
      </c>
      <c r="K25" s="1">
        <v>36</v>
      </c>
      <c r="L25" s="1" t="s">
        <v>41</v>
      </c>
      <c r="M25" s="1"/>
      <c r="N25" s="1" t="s">
        <v>41</v>
      </c>
      <c r="O25" s="1"/>
      <c r="P25" s="1" t="s">
        <v>41</v>
      </c>
      <c r="Q25" s="1"/>
      <c r="R25" s="1" t="s">
        <v>41</v>
      </c>
      <c r="S25" s="1"/>
      <c r="T25" s="1" t="s">
        <v>41</v>
      </c>
      <c r="U25" s="1"/>
      <c r="V25" s="1" t="s">
        <v>41</v>
      </c>
      <c r="W25" s="1"/>
      <c r="X25" s="1" t="s">
        <v>41</v>
      </c>
      <c r="Y25" s="1"/>
      <c r="Z25" s="1" t="s">
        <v>41</v>
      </c>
      <c r="AA25" s="1"/>
      <c r="AB25" s="1" t="s">
        <v>68</v>
      </c>
      <c r="AC25" s="1"/>
      <c r="AD25" s="1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</row>
    <row r="26" spans="1:49" ht="15" customHeight="1" x14ac:dyDescent="0.3">
      <c r="A26" s="1"/>
      <c r="B26" s="1" t="s">
        <v>857</v>
      </c>
      <c r="C26" s="1" t="s">
        <v>241</v>
      </c>
      <c r="D26" s="16"/>
      <c r="E26" s="16"/>
      <c r="F26" s="1" t="s">
        <v>716</v>
      </c>
      <c r="G26" s="1" t="s">
        <v>739</v>
      </c>
      <c r="H26" s="1" t="s">
        <v>36</v>
      </c>
      <c r="I26" s="1">
        <v>39</v>
      </c>
      <c r="J26" s="1"/>
      <c r="K26" s="1">
        <v>37</v>
      </c>
      <c r="L26" s="1" t="s">
        <v>38</v>
      </c>
      <c r="M26" s="1" t="s">
        <v>53</v>
      </c>
      <c r="N26" s="1" t="s">
        <v>41</v>
      </c>
      <c r="O26" s="1"/>
      <c r="P26" s="1" t="s">
        <v>41</v>
      </c>
      <c r="Q26" s="1"/>
      <c r="R26" s="1" t="s">
        <v>38</v>
      </c>
      <c r="S26" s="1" t="s">
        <v>65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</row>
    <row r="27" spans="1:49" ht="15" customHeight="1" x14ac:dyDescent="0.3">
      <c r="A27" s="1">
        <v>25</v>
      </c>
      <c r="B27" s="1" t="s">
        <v>395</v>
      </c>
      <c r="C27" s="1" t="str">
        <f>MID(B27, 4, LEN(B27)-3) &amp; "-" &amp; LEFT(B27, 3)</f>
        <v>MTI-P-024</v>
      </c>
      <c r="D27" s="16">
        <v>44804</v>
      </c>
      <c r="E27" s="16"/>
      <c r="F27" s="1" t="s">
        <v>716</v>
      </c>
      <c r="G27" s="1" t="s">
        <v>396</v>
      </c>
      <c r="H27" s="1" t="s">
        <v>87</v>
      </c>
      <c r="I27" s="1">
        <v>18</v>
      </c>
      <c r="J27" s="1">
        <v>41</v>
      </c>
      <c r="K27" s="1">
        <v>37</v>
      </c>
      <c r="L27" s="1" t="s">
        <v>41</v>
      </c>
      <c r="M27" s="1"/>
      <c r="N27" s="1" t="s">
        <v>41</v>
      </c>
      <c r="O27" s="1"/>
      <c r="P27" s="1" t="s">
        <v>41</v>
      </c>
      <c r="Q27" s="1"/>
      <c r="R27" s="1" t="s">
        <v>41</v>
      </c>
      <c r="S27" s="1"/>
      <c r="T27" s="1" t="s">
        <v>41</v>
      </c>
      <c r="U27" s="1"/>
      <c r="V27" s="1" t="s">
        <v>41</v>
      </c>
      <c r="W27" s="1"/>
      <c r="X27" s="1" t="s">
        <v>41</v>
      </c>
      <c r="Y27" s="1"/>
      <c r="Z27" s="1" t="s">
        <v>41</v>
      </c>
      <c r="AA27" s="1"/>
      <c r="AB27" s="1" t="s">
        <v>68</v>
      </c>
      <c r="AC27" s="1"/>
      <c r="AD27" s="1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</row>
    <row r="28" spans="1:49" ht="15" customHeight="1" x14ac:dyDescent="0.3">
      <c r="A28" s="1">
        <v>26</v>
      </c>
      <c r="B28" s="1" t="s">
        <v>438</v>
      </c>
      <c r="C28" s="1" t="str">
        <f t="shared" si="0"/>
        <v>MTI-P-006</v>
      </c>
      <c r="D28" s="16">
        <v>44798</v>
      </c>
      <c r="E28" s="16"/>
      <c r="F28" s="1" t="s">
        <v>714</v>
      </c>
      <c r="G28" s="1" t="s">
        <v>439</v>
      </c>
      <c r="H28" s="1" t="s">
        <v>36</v>
      </c>
      <c r="I28" s="1">
        <v>30</v>
      </c>
      <c r="J28" s="1">
        <v>64</v>
      </c>
      <c r="K28" s="1">
        <v>35</v>
      </c>
      <c r="L28" s="1" t="s">
        <v>41</v>
      </c>
      <c r="M28" s="1"/>
      <c r="N28" s="1" t="s">
        <v>41</v>
      </c>
      <c r="O28" s="1"/>
      <c r="P28" s="1" t="s">
        <v>41</v>
      </c>
      <c r="Q28" s="1"/>
      <c r="R28" s="1" t="s">
        <v>41</v>
      </c>
      <c r="S28" s="1"/>
      <c r="T28" s="1" t="s">
        <v>41</v>
      </c>
      <c r="U28" s="1"/>
      <c r="V28" s="1" t="s">
        <v>41</v>
      </c>
      <c r="W28" s="1"/>
      <c r="X28" s="1" t="s">
        <v>41</v>
      </c>
      <c r="Y28" s="1"/>
      <c r="Z28" s="1" t="s">
        <v>41</v>
      </c>
      <c r="AA28" s="1"/>
      <c r="AB28" s="1" t="s">
        <v>68</v>
      </c>
      <c r="AC28" s="1"/>
      <c r="AD28" s="1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</row>
    <row r="29" spans="1:49" ht="15" customHeight="1" x14ac:dyDescent="0.3">
      <c r="A29" s="1">
        <v>27</v>
      </c>
      <c r="B29" s="1" t="s">
        <v>422</v>
      </c>
      <c r="C29" s="1" t="str">
        <f t="shared" si="0"/>
        <v>MTI-P-013</v>
      </c>
      <c r="D29" s="16">
        <v>44795</v>
      </c>
      <c r="E29" s="16"/>
      <c r="F29" s="1" t="s">
        <v>714</v>
      </c>
      <c r="G29" s="1" t="s">
        <v>418</v>
      </c>
      <c r="H29" s="1" t="s">
        <v>87</v>
      </c>
      <c r="I29" s="1">
        <v>26</v>
      </c>
      <c r="J29" s="1">
        <v>56</v>
      </c>
      <c r="K29" s="1">
        <v>38</v>
      </c>
      <c r="L29" s="1" t="s">
        <v>41</v>
      </c>
      <c r="M29" s="1"/>
      <c r="N29" s="1" t="s">
        <v>41</v>
      </c>
      <c r="O29" s="1"/>
      <c r="P29" s="1" t="s">
        <v>41</v>
      </c>
      <c r="Q29" s="1"/>
      <c r="R29" s="1" t="s">
        <v>41</v>
      </c>
      <c r="S29" s="1"/>
      <c r="T29" s="1" t="s">
        <v>41</v>
      </c>
      <c r="U29" s="1"/>
      <c r="V29" s="1" t="s">
        <v>41</v>
      </c>
      <c r="W29" s="1"/>
      <c r="X29" s="1" t="s">
        <v>41</v>
      </c>
      <c r="Y29" s="1"/>
      <c r="Z29" s="1" t="s">
        <v>41</v>
      </c>
      <c r="AA29" s="1"/>
      <c r="AB29" s="1" t="s">
        <v>68</v>
      </c>
      <c r="AC29" s="1"/>
      <c r="AD29" s="1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</row>
    <row r="30" spans="1:49" ht="15" customHeight="1" x14ac:dyDescent="0.3">
      <c r="A30" s="1">
        <v>28</v>
      </c>
      <c r="B30" s="1" t="s">
        <v>422</v>
      </c>
      <c r="C30" s="1" t="str">
        <f t="shared" si="0"/>
        <v>MTI-P-013</v>
      </c>
      <c r="D30" s="1" t="s">
        <v>740</v>
      </c>
      <c r="E30" s="1"/>
      <c r="F30" s="1" t="s">
        <v>716</v>
      </c>
      <c r="G30" s="1" t="s">
        <v>418</v>
      </c>
      <c r="H30" s="1" t="s">
        <v>87</v>
      </c>
      <c r="I30" s="1">
        <v>26</v>
      </c>
      <c r="J30" s="1">
        <v>51</v>
      </c>
      <c r="K30" s="1">
        <v>37</v>
      </c>
      <c r="L30" s="1" t="s">
        <v>41</v>
      </c>
      <c r="M30" s="1"/>
      <c r="N30" s="1" t="s">
        <v>41</v>
      </c>
      <c r="O30" s="1"/>
      <c r="P30" s="1" t="s">
        <v>41</v>
      </c>
      <c r="Q30" s="1"/>
      <c r="R30" s="1" t="s">
        <v>41</v>
      </c>
      <c r="S30" s="1"/>
      <c r="T30" s="1" t="s">
        <v>41</v>
      </c>
      <c r="U30" s="1"/>
      <c r="V30" s="1" t="s">
        <v>41</v>
      </c>
      <c r="W30" s="1"/>
      <c r="X30" s="1" t="s">
        <v>41</v>
      </c>
      <c r="Y30" s="1"/>
      <c r="Z30" s="1" t="s">
        <v>41</v>
      </c>
      <c r="AA30" s="1"/>
      <c r="AB30" s="1" t="s">
        <v>68</v>
      </c>
      <c r="AC30" s="1"/>
      <c r="AD30" s="1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</row>
    <row r="31" spans="1:49" ht="15" customHeight="1" x14ac:dyDescent="0.3">
      <c r="A31" s="1">
        <v>29</v>
      </c>
      <c r="B31" s="1" t="s">
        <v>425</v>
      </c>
      <c r="C31" s="1" t="str">
        <f t="shared" si="0"/>
        <v>MTI-P-011</v>
      </c>
      <c r="D31" s="16">
        <v>44795</v>
      </c>
      <c r="E31" s="16"/>
      <c r="F31" s="1" t="s">
        <v>714</v>
      </c>
      <c r="G31" s="1" t="s">
        <v>426</v>
      </c>
      <c r="H31" s="1" t="s">
        <v>87</v>
      </c>
      <c r="I31" s="1">
        <v>39</v>
      </c>
      <c r="J31" s="1">
        <v>54</v>
      </c>
      <c r="K31" s="1">
        <v>38</v>
      </c>
      <c r="L31" s="1" t="s">
        <v>41</v>
      </c>
      <c r="M31" s="1"/>
      <c r="N31" s="1" t="s">
        <v>41</v>
      </c>
      <c r="O31" s="1"/>
      <c r="P31" s="1" t="s">
        <v>41</v>
      </c>
      <c r="Q31" s="1"/>
      <c r="R31" s="1" t="s">
        <v>41</v>
      </c>
      <c r="S31" s="1"/>
      <c r="T31" s="1" t="s">
        <v>41</v>
      </c>
      <c r="U31" s="1"/>
      <c r="V31" s="1" t="s">
        <v>41</v>
      </c>
      <c r="W31" s="1"/>
      <c r="X31" s="1" t="s">
        <v>41</v>
      </c>
      <c r="Y31" s="1"/>
      <c r="Z31" s="1" t="s">
        <v>41</v>
      </c>
      <c r="AA31" s="1"/>
      <c r="AB31" s="1" t="s">
        <v>68</v>
      </c>
      <c r="AC31" s="1"/>
      <c r="AD31" s="1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</row>
    <row r="32" spans="1:49" ht="15" customHeight="1" x14ac:dyDescent="0.3">
      <c r="A32" s="1">
        <v>30</v>
      </c>
      <c r="B32" s="1" t="s">
        <v>425</v>
      </c>
      <c r="C32" s="1" t="str">
        <f t="shared" si="0"/>
        <v>MTI-P-011</v>
      </c>
      <c r="D32" s="16">
        <v>44640</v>
      </c>
      <c r="E32" s="16"/>
      <c r="F32" s="1" t="s">
        <v>716</v>
      </c>
      <c r="G32" s="1" t="s">
        <v>426</v>
      </c>
      <c r="H32" s="1" t="s">
        <v>87</v>
      </c>
      <c r="I32" s="1">
        <v>39</v>
      </c>
      <c r="J32" s="1">
        <v>51</v>
      </c>
      <c r="K32" s="1">
        <v>37</v>
      </c>
      <c r="L32" s="1" t="s">
        <v>38</v>
      </c>
      <c r="M32" s="1" t="s">
        <v>51</v>
      </c>
      <c r="N32" s="1" t="s">
        <v>41</v>
      </c>
      <c r="O32" s="1"/>
      <c r="P32" s="1" t="s">
        <v>41</v>
      </c>
      <c r="Q32" s="1"/>
      <c r="R32" s="1" t="s">
        <v>41</v>
      </c>
      <c r="S32" s="1"/>
      <c r="T32" s="1" t="s">
        <v>41</v>
      </c>
      <c r="U32" s="1"/>
      <c r="V32" s="1" t="s">
        <v>41</v>
      </c>
      <c r="W32" s="1"/>
      <c r="X32" s="1" t="s">
        <v>41</v>
      </c>
      <c r="Y32" s="1"/>
      <c r="Z32" s="1" t="s">
        <v>38</v>
      </c>
      <c r="AA32" s="1" t="s">
        <v>741</v>
      </c>
      <c r="AB32" s="1"/>
      <c r="AC32" s="1"/>
      <c r="AD32" s="1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</row>
    <row r="33" spans="1:49" ht="15" customHeight="1" x14ac:dyDescent="0.3">
      <c r="A33" s="1">
        <v>31</v>
      </c>
      <c r="B33" s="1" t="s">
        <v>440</v>
      </c>
      <c r="C33" s="1" t="str">
        <f t="shared" ref="C33:C51" si="2">MID(B33, 4, LEN(B33)-3) &amp; "-" &amp; LEFT(B33, 3)</f>
        <v>MTI-P-005</v>
      </c>
      <c r="D33" s="16">
        <v>44795</v>
      </c>
      <c r="E33" s="16"/>
      <c r="F33" s="1" t="s">
        <v>714</v>
      </c>
      <c r="G33" s="1" t="s">
        <v>742</v>
      </c>
      <c r="H33" s="1" t="s">
        <v>87</v>
      </c>
      <c r="I33" s="1">
        <v>22</v>
      </c>
      <c r="J33" s="1">
        <v>69</v>
      </c>
      <c r="K33" s="1">
        <v>37</v>
      </c>
      <c r="L33" s="1" t="s">
        <v>38</v>
      </c>
      <c r="M33" s="1" t="s">
        <v>43</v>
      </c>
      <c r="N33" s="1" t="s">
        <v>41</v>
      </c>
      <c r="O33" s="1"/>
      <c r="P33" s="1" t="s">
        <v>41</v>
      </c>
      <c r="Q33" s="1"/>
      <c r="R33" s="1" t="s">
        <v>41</v>
      </c>
      <c r="S33" s="1"/>
      <c r="T33" s="1" t="s">
        <v>41</v>
      </c>
      <c r="U33" s="1"/>
      <c r="V33" s="1" t="s">
        <v>41</v>
      </c>
      <c r="W33" s="1"/>
      <c r="X33" s="1" t="s">
        <v>41</v>
      </c>
      <c r="Y33" s="1"/>
      <c r="Z33" s="1" t="s">
        <v>41</v>
      </c>
      <c r="AA33" s="1"/>
      <c r="AB33" s="1" t="s">
        <v>68</v>
      </c>
      <c r="AC33" s="1"/>
      <c r="AD33" s="1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</row>
    <row r="34" spans="1:49" ht="15" customHeight="1" x14ac:dyDescent="0.3">
      <c r="A34" s="1">
        <v>32</v>
      </c>
      <c r="B34" s="1" t="s">
        <v>429</v>
      </c>
      <c r="C34" s="1" t="str">
        <f t="shared" si="2"/>
        <v>MTI-P-010</v>
      </c>
      <c r="D34" s="16">
        <v>44793</v>
      </c>
      <c r="E34" s="16"/>
      <c r="F34" s="1" t="s">
        <v>714</v>
      </c>
      <c r="G34" s="1" t="s">
        <v>430</v>
      </c>
      <c r="H34" s="1" t="s">
        <v>87</v>
      </c>
      <c r="I34" s="1">
        <v>29</v>
      </c>
      <c r="J34" s="1">
        <v>60</v>
      </c>
      <c r="K34" s="1">
        <v>37</v>
      </c>
      <c r="L34" s="1" t="s">
        <v>41</v>
      </c>
      <c r="M34" s="1"/>
      <c r="N34" s="1" t="s">
        <v>41</v>
      </c>
      <c r="O34" s="1"/>
      <c r="P34" s="1" t="s">
        <v>41</v>
      </c>
      <c r="Q34" s="1"/>
      <c r="R34" s="1" t="s">
        <v>41</v>
      </c>
      <c r="S34" s="1"/>
      <c r="T34" s="1" t="s">
        <v>41</v>
      </c>
      <c r="U34" s="1"/>
      <c r="V34" s="1" t="s">
        <v>41</v>
      </c>
      <c r="W34" s="1"/>
      <c r="X34" s="1" t="s">
        <v>41</v>
      </c>
      <c r="Y34" s="1"/>
      <c r="Z34" s="1" t="s">
        <v>38</v>
      </c>
      <c r="AA34" s="1" t="s">
        <v>743</v>
      </c>
      <c r="AB34" s="1" t="s">
        <v>68</v>
      </c>
      <c r="AC34" s="1"/>
      <c r="AD34" s="1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</row>
    <row r="35" spans="1:49" ht="15" customHeight="1" x14ac:dyDescent="0.3">
      <c r="A35" s="1">
        <v>33</v>
      </c>
      <c r="B35" s="1" t="s">
        <v>429</v>
      </c>
      <c r="C35" s="1" t="str">
        <f t="shared" si="2"/>
        <v>MTI-P-010</v>
      </c>
      <c r="D35" s="16">
        <v>44647</v>
      </c>
      <c r="E35" s="16"/>
      <c r="F35" s="1" t="s">
        <v>716</v>
      </c>
      <c r="G35" s="1" t="s">
        <v>430</v>
      </c>
      <c r="H35" s="1" t="s">
        <v>87</v>
      </c>
      <c r="I35" s="1">
        <v>29</v>
      </c>
      <c r="J35" s="1">
        <v>56</v>
      </c>
      <c r="K35" s="1">
        <v>37</v>
      </c>
      <c r="L35" s="1" t="s">
        <v>41</v>
      </c>
      <c r="M35" s="1"/>
      <c r="N35" s="1" t="s">
        <v>38</v>
      </c>
      <c r="O35" s="1" t="s">
        <v>51</v>
      </c>
      <c r="P35" s="1" t="s">
        <v>41</v>
      </c>
      <c r="Q35" s="1"/>
      <c r="R35" s="1" t="s">
        <v>41</v>
      </c>
      <c r="S35" s="1"/>
      <c r="T35" s="1" t="s">
        <v>41</v>
      </c>
      <c r="U35" s="1"/>
      <c r="V35" s="1" t="s">
        <v>41</v>
      </c>
      <c r="W35" s="1"/>
      <c r="X35" s="1" t="s">
        <v>41</v>
      </c>
      <c r="Y35" s="1"/>
      <c r="Z35" s="1" t="s">
        <v>38</v>
      </c>
      <c r="AA35" s="1" t="s">
        <v>744</v>
      </c>
      <c r="AB35" s="1"/>
      <c r="AC35" s="1"/>
      <c r="AD35" s="1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</row>
    <row r="36" spans="1:49" ht="15" customHeight="1" x14ac:dyDescent="0.3">
      <c r="A36" s="1">
        <v>34</v>
      </c>
      <c r="B36" s="1" t="s">
        <v>401</v>
      </c>
      <c r="C36" s="1" t="str">
        <f t="shared" si="2"/>
        <v>MTI-P-021</v>
      </c>
      <c r="D36" s="16">
        <v>44718</v>
      </c>
      <c r="E36" s="16"/>
      <c r="F36" s="1" t="s">
        <v>716</v>
      </c>
      <c r="G36" s="1" t="s">
        <v>402</v>
      </c>
      <c r="H36" s="1" t="s">
        <v>36</v>
      </c>
      <c r="I36" s="1">
        <v>26</v>
      </c>
      <c r="J36" s="1">
        <v>62</v>
      </c>
      <c r="K36" s="1">
        <v>37</v>
      </c>
      <c r="L36" s="1" t="s">
        <v>38</v>
      </c>
      <c r="M36" s="1" t="s">
        <v>228</v>
      </c>
      <c r="N36" s="1" t="s">
        <v>41</v>
      </c>
      <c r="O36" s="1"/>
      <c r="P36" s="1" t="s">
        <v>41</v>
      </c>
      <c r="Q36" s="1"/>
      <c r="R36" s="1" t="s">
        <v>41</v>
      </c>
      <c r="S36" s="1"/>
      <c r="T36" s="1" t="s">
        <v>41</v>
      </c>
      <c r="U36" s="1"/>
      <c r="V36" s="1" t="s">
        <v>41</v>
      </c>
      <c r="W36" s="1"/>
      <c r="X36" s="1" t="s">
        <v>41</v>
      </c>
      <c r="Y36" s="1"/>
      <c r="Z36" s="1" t="s">
        <v>41</v>
      </c>
      <c r="AA36" s="1"/>
      <c r="AB36" s="1" t="s">
        <v>68</v>
      </c>
      <c r="AC36" s="1"/>
      <c r="AD36" s="1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</row>
    <row r="37" spans="1:49" ht="15" customHeight="1" x14ac:dyDescent="0.3">
      <c r="A37" s="1">
        <v>35</v>
      </c>
      <c r="B37" s="1" t="s">
        <v>449</v>
      </c>
      <c r="C37" s="1" t="str">
        <f t="shared" si="2"/>
        <v>MTI-P-003</v>
      </c>
      <c r="D37" s="16">
        <v>44718</v>
      </c>
      <c r="E37" s="16"/>
      <c r="F37" s="1" t="s">
        <v>714</v>
      </c>
      <c r="G37" s="1" t="s">
        <v>745</v>
      </c>
      <c r="H37" s="1" t="s">
        <v>36</v>
      </c>
      <c r="I37" s="1">
        <v>65</v>
      </c>
      <c r="J37" s="1">
        <v>60</v>
      </c>
      <c r="K37" s="1">
        <v>38</v>
      </c>
      <c r="L37" s="1" t="s">
        <v>41</v>
      </c>
      <c r="M37" s="1"/>
      <c r="N37" s="1" t="s">
        <v>41</v>
      </c>
      <c r="O37" s="1"/>
      <c r="P37" s="1" t="s">
        <v>41</v>
      </c>
      <c r="Q37" s="1"/>
      <c r="R37" s="1" t="s">
        <v>41</v>
      </c>
      <c r="S37" s="1"/>
      <c r="T37" s="1" t="s">
        <v>41</v>
      </c>
      <c r="U37" s="1"/>
      <c r="V37" s="1" t="s">
        <v>41</v>
      </c>
      <c r="W37" s="1"/>
      <c r="X37" s="1" t="s">
        <v>41</v>
      </c>
      <c r="Y37" s="1"/>
      <c r="Z37" s="1" t="s">
        <v>41</v>
      </c>
      <c r="AA37" s="1"/>
      <c r="AB37" s="1" t="s">
        <v>68</v>
      </c>
      <c r="AC37" s="1"/>
      <c r="AD37" s="1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</row>
    <row r="38" spans="1:49" ht="15" customHeight="1" x14ac:dyDescent="0.3">
      <c r="A38" s="1">
        <v>36</v>
      </c>
      <c r="B38" s="1" t="s">
        <v>444</v>
      </c>
      <c r="C38" s="1" t="str">
        <f t="shared" si="2"/>
        <v>MTI-P-004</v>
      </c>
      <c r="D38" s="16">
        <v>44718</v>
      </c>
      <c r="E38" s="16"/>
      <c r="F38" s="1" t="s">
        <v>714</v>
      </c>
      <c r="G38" s="1" t="s">
        <v>445</v>
      </c>
      <c r="H38" s="1" t="s">
        <v>36</v>
      </c>
      <c r="I38" s="1">
        <v>37</v>
      </c>
      <c r="J38" s="1">
        <v>54</v>
      </c>
      <c r="K38" s="1">
        <v>38</v>
      </c>
      <c r="L38" s="1" t="s">
        <v>41</v>
      </c>
      <c r="M38" s="1"/>
      <c r="N38" s="1" t="s">
        <v>41</v>
      </c>
      <c r="O38" s="1"/>
      <c r="P38" s="1" t="s">
        <v>41</v>
      </c>
      <c r="Q38" s="1"/>
      <c r="R38" s="1" t="s">
        <v>41</v>
      </c>
      <c r="S38" s="1"/>
      <c r="T38" s="1" t="s">
        <v>41</v>
      </c>
      <c r="U38" s="1"/>
      <c r="V38" s="1" t="s">
        <v>41</v>
      </c>
      <c r="W38" s="1"/>
      <c r="X38" s="1" t="s">
        <v>41</v>
      </c>
      <c r="Y38" s="1"/>
      <c r="Z38" s="1" t="s">
        <v>41</v>
      </c>
      <c r="AA38" s="1"/>
      <c r="AB38" s="1" t="s">
        <v>68</v>
      </c>
      <c r="AC38" s="1"/>
      <c r="AD38" s="1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</row>
    <row r="39" spans="1:49" ht="15" customHeight="1" x14ac:dyDescent="0.3">
      <c r="A39" s="1">
        <v>37</v>
      </c>
      <c r="B39" s="1" t="s">
        <v>451</v>
      </c>
      <c r="C39" s="1" t="str">
        <f t="shared" si="2"/>
        <v>MTI-P-002</v>
      </c>
      <c r="D39" s="19">
        <v>44692</v>
      </c>
      <c r="E39" s="19"/>
      <c r="F39" s="1" t="s">
        <v>714</v>
      </c>
      <c r="G39" s="1" t="s">
        <v>394</v>
      </c>
      <c r="H39" s="1" t="s">
        <v>36</v>
      </c>
      <c r="I39" s="1">
        <v>25</v>
      </c>
      <c r="J39" s="1">
        <v>60</v>
      </c>
      <c r="K39" s="1">
        <v>37</v>
      </c>
      <c r="L39" s="1" t="s">
        <v>41</v>
      </c>
      <c r="M39" s="1"/>
      <c r="N39" s="1" t="s">
        <v>41</v>
      </c>
      <c r="O39" s="1"/>
      <c r="P39" s="1" t="s">
        <v>41</v>
      </c>
      <c r="Q39" s="1"/>
      <c r="R39" s="1" t="s">
        <v>41</v>
      </c>
      <c r="S39" s="1"/>
      <c r="T39" s="1" t="s">
        <v>41</v>
      </c>
      <c r="U39" s="1"/>
      <c r="V39" s="1" t="s">
        <v>41</v>
      </c>
      <c r="W39" s="1"/>
      <c r="X39" s="1" t="s">
        <v>41</v>
      </c>
      <c r="Y39" s="1"/>
      <c r="Z39" s="1" t="s">
        <v>41</v>
      </c>
      <c r="AA39" s="1"/>
      <c r="AB39" s="1" t="s">
        <v>68</v>
      </c>
      <c r="AC39" s="1"/>
      <c r="AD39" s="1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</row>
    <row r="40" spans="1:49" ht="15" customHeight="1" x14ac:dyDescent="0.3">
      <c r="A40" s="1">
        <v>38</v>
      </c>
      <c r="B40" s="1" t="s">
        <v>452</v>
      </c>
      <c r="C40" s="1" t="str">
        <f t="shared" si="2"/>
        <v>MTI-P-001</v>
      </c>
      <c r="D40" s="19">
        <v>44690</v>
      </c>
      <c r="E40" s="19"/>
      <c r="F40" s="1" t="s">
        <v>714</v>
      </c>
      <c r="G40" s="1" t="s">
        <v>453</v>
      </c>
      <c r="H40" s="1" t="s">
        <v>36</v>
      </c>
      <c r="I40" s="1">
        <v>48</v>
      </c>
      <c r="J40" s="1">
        <v>52</v>
      </c>
      <c r="K40" s="1">
        <v>36</v>
      </c>
      <c r="L40" s="1" t="s">
        <v>41</v>
      </c>
      <c r="M40" s="1"/>
      <c r="N40" s="1" t="s">
        <v>41</v>
      </c>
      <c r="O40" s="1"/>
      <c r="P40" s="1" t="s">
        <v>41</v>
      </c>
      <c r="Q40" s="1"/>
      <c r="R40" s="1" t="s">
        <v>41</v>
      </c>
      <c r="S40" s="1"/>
      <c r="T40" s="1" t="s">
        <v>41</v>
      </c>
      <c r="U40" s="1"/>
      <c r="V40" s="1" t="s">
        <v>41</v>
      </c>
      <c r="W40" s="1"/>
      <c r="X40" s="1" t="s">
        <v>41</v>
      </c>
      <c r="Y40" s="1"/>
      <c r="Z40" s="1" t="s">
        <v>41</v>
      </c>
      <c r="AA40" s="1"/>
      <c r="AB40" s="1" t="s">
        <v>68</v>
      </c>
      <c r="AC40" s="1"/>
      <c r="AD40" s="1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</row>
    <row r="41" spans="1:49" ht="15" customHeight="1" x14ac:dyDescent="0.3">
      <c r="A41" s="1">
        <v>39</v>
      </c>
      <c r="B41" s="1" t="s">
        <v>409</v>
      </c>
      <c r="C41" s="1" t="str">
        <f t="shared" si="2"/>
        <v>MTI-P-018</v>
      </c>
      <c r="D41" s="19">
        <v>44686</v>
      </c>
      <c r="E41" s="19"/>
      <c r="F41" s="1" t="s">
        <v>746</v>
      </c>
      <c r="G41" s="1" t="s">
        <v>394</v>
      </c>
      <c r="H41" s="1" t="s">
        <v>36</v>
      </c>
      <c r="I41" s="1">
        <v>25</v>
      </c>
      <c r="J41" s="1">
        <v>62</v>
      </c>
      <c r="K41" s="1">
        <v>37</v>
      </c>
      <c r="L41" s="1" t="s">
        <v>38</v>
      </c>
      <c r="M41" s="1" t="s">
        <v>52</v>
      </c>
      <c r="N41" s="1" t="s">
        <v>41</v>
      </c>
      <c r="O41" s="1"/>
      <c r="P41" s="1" t="s">
        <v>41</v>
      </c>
      <c r="Q41" s="1"/>
      <c r="R41" s="1" t="s">
        <v>41</v>
      </c>
      <c r="S41" s="1"/>
      <c r="T41" s="1" t="s">
        <v>41</v>
      </c>
      <c r="U41" s="1"/>
      <c r="V41" s="1" t="s">
        <v>41</v>
      </c>
      <c r="W41" s="1"/>
      <c r="X41" s="1" t="s">
        <v>38</v>
      </c>
      <c r="Y41" s="1" t="s">
        <v>53</v>
      </c>
      <c r="Z41" s="1" t="s">
        <v>38</v>
      </c>
      <c r="AA41" s="1" t="s">
        <v>747</v>
      </c>
      <c r="AB41" s="1" t="s">
        <v>68</v>
      </c>
      <c r="AC41" s="1"/>
      <c r="AD41" s="1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</row>
    <row r="42" spans="1:49" ht="15" customHeight="1" x14ac:dyDescent="0.3">
      <c r="A42" s="1">
        <v>40</v>
      </c>
      <c r="B42" s="1" t="s">
        <v>417</v>
      </c>
      <c r="C42" s="1" t="str">
        <f t="shared" si="2"/>
        <v>MTI-P-015</v>
      </c>
      <c r="D42" s="16">
        <v>44671</v>
      </c>
      <c r="E42" s="16"/>
      <c r="F42" s="1" t="s">
        <v>716</v>
      </c>
      <c r="G42" s="1" t="s">
        <v>418</v>
      </c>
      <c r="H42" s="1" t="s">
        <v>36</v>
      </c>
      <c r="I42" s="1">
        <v>20</v>
      </c>
      <c r="J42" s="1">
        <v>54</v>
      </c>
      <c r="K42" s="1">
        <v>37</v>
      </c>
      <c r="L42" s="1" t="s">
        <v>41</v>
      </c>
      <c r="M42" s="1"/>
      <c r="N42" s="1" t="s">
        <v>41</v>
      </c>
      <c r="O42" s="1"/>
      <c r="P42" s="1" t="s">
        <v>41</v>
      </c>
      <c r="Q42" s="1"/>
      <c r="R42" s="1" t="s">
        <v>41</v>
      </c>
      <c r="S42" s="1"/>
      <c r="T42" s="1" t="s">
        <v>41</v>
      </c>
      <c r="U42" s="1"/>
      <c r="V42" s="1" t="s">
        <v>38</v>
      </c>
      <c r="W42" s="1" t="s">
        <v>51</v>
      </c>
      <c r="X42" s="1" t="s">
        <v>41</v>
      </c>
      <c r="Y42" s="1"/>
      <c r="Z42" s="1" t="s">
        <v>38</v>
      </c>
      <c r="AA42" s="1" t="s">
        <v>748</v>
      </c>
      <c r="AB42" s="1" t="s">
        <v>68</v>
      </c>
      <c r="AC42" s="1"/>
      <c r="AD42" s="1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</row>
    <row r="43" spans="1:49" ht="15" customHeight="1" x14ac:dyDescent="0.3">
      <c r="A43" s="1">
        <v>41</v>
      </c>
      <c r="B43" s="1" t="s">
        <v>419</v>
      </c>
      <c r="C43" s="1" t="str">
        <f t="shared" si="2"/>
        <v>MTI-P-014</v>
      </c>
      <c r="D43" s="16">
        <v>44664</v>
      </c>
      <c r="E43" s="16"/>
      <c r="F43" s="1" t="s">
        <v>716</v>
      </c>
      <c r="G43" s="1" t="s">
        <v>420</v>
      </c>
      <c r="H43" s="1" t="s">
        <v>36</v>
      </c>
      <c r="I43" s="1">
        <v>30</v>
      </c>
      <c r="J43" s="1" t="s">
        <v>69</v>
      </c>
      <c r="K43" s="1">
        <v>37</v>
      </c>
      <c r="L43" s="1" t="s">
        <v>41</v>
      </c>
      <c r="M43" s="1"/>
      <c r="N43" s="1" t="s">
        <v>41</v>
      </c>
      <c r="O43" s="1"/>
      <c r="P43" s="1" t="s">
        <v>41</v>
      </c>
      <c r="Q43" s="1"/>
      <c r="R43" s="1" t="s">
        <v>41</v>
      </c>
      <c r="S43" s="1"/>
      <c r="T43" s="1" t="s">
        <v>41</v>
      </c>
      <c r="U43" s="1"/>
      <c r="V43" s="1" t="s">
        <v>41</v>
      </c>
      <c r="W43" s="1"/>
      <c r="X43" s="1" t="s">
        <v>41</v>
      </c>
      <c r="Y43" s="1"/>
      <c r="Z43" s="1" t="s">
        <v>41</v>
      </c>
      <c r="AA43" s="1"/>
      <c r="AB43" s="1" t="s">
        <v>68</v>
      </c>
      <c r="AC43" s="1"/>
      <c r="AD43" s="1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</row>
    <row r="44" spans="1:49" ht="14.4" x14ac:dyDescent="0.3">
      <c r="A44" s="1">
        <v>42</v>
      </c>
      <c r="B44" s="1" t="s">
        <v>433</v>
      </c>
      <c r="C44" s="1" t="str">
        <f t="shared" si="2"/>
        <v>MTI-P-008</v>
      </c>
      <c r="D44" s="16">
        <v>44643</v>
      </c>
      <c r="E44" s="16"/>
      <c r="F44" s="1" t="s">
        <v>716</v>
      </c>
      <c r="G44" s="1" t="s">
        <v>434</v>
      </c>
      <c r="H44" s="1" t="s">
        <v>36</v>
      </c>
      <c r="I44" s="1">
        <v>40</v>
      </c>
      <c r="J44" s="1">
        <v>64</v>
      </c>
      <c r="K44" s="1">
        <v>37</v>
      </c>
      <c r="L44" s="1" t="s">
        <v>38</v>
      </c>
      <c r="M44" s="1" t="s">
        <v>51</v>
      </c>
      <c r="N44" s="1" t="s">
        <v>41</v>
      </c>
      <c r="O44" s="1"/>
      <c r="P44" s="1" t="s">
        <v>41</v>
      </c>
      <c r="Q44" s="1"/>
      <c r="R44" s="1" t="s">
        <v>41</v>
      </c>
      <c r="S44" s="1"/>
      <c r="T44" s="1" t="s">
        <v>41</v>
      </c>
      <c r="U44" s="1"/>
      <c r="V44" s="1" t="s">
        <v>41</v>
      </c>
      <c r="W44" s="1"/>
      <c r="X44" s="1" t="s">
        <v>41</v>
      </c>
      <c r="Y44" s="1"/>
      <c r="Z44" s="1" t="s">
        <v>41</v>
      </c>
      <c r="AA44" s="1"/>
      <c r="AB44" s="1" t="s">
        <v>68</v>
      </c>
      <c r="AC44" s="1"/>
      <c r="AD44" s="1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</row>
    <row r="45" spans="1:49" ht="14.4" x14ac:dyDescent="0.3">
      <c r="A45" s="1">
        <v>43</v>
      </c>
      <c r="B45" s="1" t="s">
        <v>435</v>
      </c>
      <c r="C45" s="1" t="str">
        <f t="shared" si="2"/>
        <v>MTI-P-007</v>
      </c>
      <c r="D45" s="16">
        <v>44641</v>
      </c>
      <c r="E45" s="16"/>
      <c r="F45" s="1" t="s">
        <v>716</v>
      </c>
      <c r="G45" s="1" t="s">
        <v>436</v>
      </c>
      <c r="H45" s="1" t="s">
        <v>87</v>
      </c>
      <c r="I45" s="1">
        <v>32</v>
      </c>
      <c r="J45" s="1">
        <v>61</v>
      </c>
      <c r="K45" s="1">
        <v>36</v>
      </c>
      <c r="L45" s="1" t="s">
        <v>41</v>
      </c>
      <c r="M45" s="1"/>
      <c r="N45" s="1" t="s">
        <v>41</v>
      </c>
      <c r="O45" s="1"/>
      <c r="P45" s="1" t="s">
        <v>41</v>
      </c>
      <c r="Q45" s="1"/>
      <c r="R45" s="1" t="s">
        <v>38</v>
      </c>
      <c r="S45" s="1" t="s">
        <v>43</v>
      </c>
      <c r="T45" s="1" t="s">
        <v>41</v>
      </c>
      <c r="U45" s="1"/>
      <c r="V45" s="1" t="s">
        <v>41</v>
      </c>
      <c r="W45" s="1"/>
      <c r="X45" s="1" t="s">
        <v>41</v>
      </c>
      <c r="Y45" s="1"/>
      <c r="Z45" s="1" t="s">
        <v>41</v>
      </c>
      <c r="AA45" s="1"/>
      <c r="AB45" s="1" t="s">
        <v>68</v>
      </c>
      <c r="AC45" s="1"/>
      <c r="AD45" s="1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</row>
    <row r="46" spans="1:49" ht="14.4" x14ac:dyDescent="0.3">
      <c r="A46" s="1">
        <v>44</v>
      </c>
      <c r="B46" s="1" t="s">
        <v>438</v>
      </c>
      <c r="C46" s="1" t="str">
        <f t="shared" si="2"/>
        <v>MTI-P-006</v>
      </c>
      <c r="D46" s="16">
        <v>44634</v>
      </c>
      <c r="E46" s="16"/>
      <c r="F46" s="1" t="s">
        <v>716</v>
      </c>
      <c r="G46" s="1" t="s">
        <v>439</v>
      </c>
      <c r="H46" s="1" t="s">
        <v>36</v>
      </c>
      <c r="I46" s="1">
        <v>30</v>
      </c>
      <c r="J46" s="1">
        <v>62</v>
      </c>
      <c r="K46" s="1">
        <v>37</v>
      </c>
      <c r="L46" s="1" t="s">
        <v>41</v>
      </c>
      <c r="M46" s="1"/>
      <c r="N46" s="1" t="s">
        <v>41</v>
      </c>
      <c r="O46" s="1"/>
      <c r="P46" s="1" t="s">
        <v>41</v>
      </c>
      <c r="Q46" s="1"/>
      <c r="R46" s="1" t="s">
        <v>41</v>
      </c>
      <c r="S46" s="1"/>
      <c r="T46" s="1" t="s">
        <v>41</v>
      </c>
      <c r="U46" s="1"/>
      <c r="V46" s="1" t="s">
        <v>41</v>
      </c>
      <c r="W46" s="1"/>
      <c r="X46" s="1" t="s">
        <v>41</v>
      </c>
      <c r="Y46" s="1"/>
      <c r="Z46" s="1" t="s">
        <v>41</v>
      </c>
      <c r="AA46" s="1"/>
      <c r="AB46" s="1" t="s">
        <v>68</v>
      </c>
      <c r="AC46" s="1"/>
      <c r="AD46" s="1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</row>
    <row r="47" spans="1:49" ht="14.4" x14ac:dyDescent="0.3">
      <c r="A47" s="1">
        <v>45</v>
      </c>
      <c r="B47" s="1" t="s">
        <v>440</v>
      </c>
      <c r="C47" s="1" t="str">
        <f t="shared" si="2"/>
        <v>MTI-P-005</v>
      </c>
      <c r="D47" s="16">
        <v>44627</v>
      </c>
      <c r="E47" s="16"/>
      <c r="F47" s="1" t="s">
        <v>716</v>
      </c>
      <c r="G47" s="1" t="s">
        <v>742</v>
      </c>
      <c r="H47" s="1" t="s">
        <v>87</v>
      </c>
      <c r="I47" s="1">
        <v>22</v>
      </c>
      <c r="J47" s="1">
        <v>63</v>
      </c>
      <c r="K47" s="1">
        <v>36</v>
      </c>
      <c r="L47" s="1" t="s">
        <v>38</v>
      </c>
      <c r="M47" s="1" t="s">
        <v>43</v>
      </c>
      <c r="N47" s="1" t="s">
        <v>41</v>
      </c>
      <c r="O47" s="1"/>
      <c r="P47" s="1" t="s">
        <v>41</v>
      </c>
      <c r="Q47" s="1"/>
      <c r="R47" s="1" t="s">
        <v>41</v>
      </c>
      <c r="S47" s="1"/>
      <c r="T47" s="1" t="s">
        <v>41</v>
      </c>
      <c r="U47" s="1"/>
      <c r="V47" s="1" t="s">
        <v>41</v>
      </c>
      <c r="W47" s="1"/>
      <c r="X47" s="1" t="s">
        <v>41</v>
      </c>
      <c r="Y47" s="1"/>
      <c r="Z47" s="1" t="s">
        <v>38</v>
      </c>
      <c r="AA47" s="1" t="s">
        <v>749</v>
      </c>
      <c r="AB47" s="1" t="s">
        <v>68</v>
      </c>
      <c r="AC47" s="1"/>
      <c r="AD47" s="1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</row>
    <row r="48" spans="1:49" ht="14.4" x14ac:dyDescent="0.3">
      <c r="A48" s="1">
        <v>46</v>
      </c>
      <c r="B48" s="1" t="s">
        <v>444</v>
      </c>
      <c r="C48" s="1" t="str">
        <f t="shared" si="2"/>
        <v>MTI-P-004</v>
      </c>
      <c r="D48" s="16">
        <v>44627</v>
      </c>
      <c r="E48" s="16"/>
      <c r="F48" s="1" t="s">
        <v>716</v>
      </c>
      <c r="G48" s="1" t="s">
        <v>445</v>
      </c>
      <c r="H48" s="1" t="s">
        <v>36</v>
      </c>
      <c r="I48" s="1">
        <v>37</v>
      </c>
      <c r="J48" s="1">
        <v>50</v>
      </c>
      <c r="K48" s="1">
        <v>37</v>
      </c>
      <c r="L48" s="1" t="s">
        <v>41</v>
      </c>
      <c r="M48" s="1"/>
      <c r="N48" s="1" t="s">
        <v>41</v>
      </c>
      <c r="O48" s="1"/>
      <c r="P48" s="1" t="s">
        <v>41</v>
      </c>
      <c r="Q48" s="1"/>
      <c r="R48" s="1" t="s">
        <v>41</v>
      </c>
      <c r="S48" s="1"/>
      <c r="T48" s="1" t="s">
        <v>41</v>
      </c>
      <c r="U48" s="1"/>
      <c r="V48" s="1" t="s">
        <v>41</v>
      </c>
      <c r="W48" s="1"/>
      <c r="X48" s="1" t="s">
        <v>41</v>
      </c>
      <c r="Y48" s="1"/>
      <c r="Z48" s="1" t="s">
        <v>41</v>
      </c>
      <c r="AA48" s="1"/>
      <c r="AB48" s="1" t="s">
        <v>68</v>
      </c>
      <c r="AC48" s="1"/>
      <c r="AD48" s="1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</row>
    <row r="49" spans="1:49" ht="14.4" x14ac:dyDescent="0.3">
      <c r="A49" s="1">
        <v>47</v>
      </c>
      <c r="B49" s="1" t="s">
        <v>449</v>
      </c>
      <c r="C49" s="1" t="str">
        <f t="shared" si="2"/>
        <v>MTI-P-003</v>
      </c>
      <c r="D49" s="16">
        <v>44622</v>
      </c>
      <c r="E49" s="16"/>
      <c r="F49" s="1" t="s">
        <v>750</v>
      </c>
      <c r="G49" s="1" t="s">
        <v>450</v>
      </c>
      <c r="H49" s="1" t="s">
        <v>36</v>
      </c>
      <c r="I49" s="1">
        <v>65</v>
      </c>
      <c r="J49" s="1">
        <v>50</v>
      </c>
      <c r="K49" s="1">
        <v>36</v>
      </c>
      <c r="L49" s="1" t="s">
        <v>41</v>
      </c>
      <c r="M49" s="1"/>
      <c r="N49" s="1" t="s">
        <v>41</v>
      </c>
      <c r="O49" s="1"/>
      <c r="P49" s="1" t="s">
        <v>41</v>
      </c>
      <c r="Q49" s="1"/>
      <c r="R49" s="1" t="s">
        <v>41</v>
      </c>
      <c r="S49" s="1"/>
      <c r="T49" s="1" t="s">
        <v>41</v>
      </c>
      <c r="U49" s="1"/>
      <c r="V49" s="1" t="s">
        <v>41</v>
      </c>
      <c r="W49" s="1"/>
      <c r="X49" s="1" t="s">
        <v>41</v>
      </c>
      <c r="Y49" s="1"/>
      <c r="Z49" s="1" t="s">
        <v>38</v>
      </c>
      <c r="AA49" s="1" t="s">
        <v>751</v>
      </c>
      <c r="AB49" s="1" t="s">
        <v>68</v>
      </c>
      <c r="AC49" s="1"/>
      <c r="AD49" s="1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</row>
    <row r="50" spans="1:49" ht="14.4" x14ac:dyDescent="0.3">
      <c r="A50" s="1">
        <v>48</v>
      </c>
      <c r="B50" s="1" t="s">
        <v>451</v>
      </c>
      <c r="C50" s="1" t="str">
        <f t="shared" si="2"/>
        <v>MTI-P-002</v>
      </c>
      <c r="D50" s="16">
        <v>44621</v>
      </c>
      <c r="E50" s="16"/>
      <c r="F50" s="1" t="s">
        <v>716</v>
      </c>
      <c r="G50" s="1" t="s">
        <v>394</v>
      </c>
      <c r="H50" s="1" t="s">
        <v>36</v>
      </c>
      <c r="I50" s="1">
        <v>25</v>
      </c>
      <c r="J50" s="1" t="s">
        <v>69</v>
      </c>
      <c r="K50" s="1">
        <v>37</v>
      </c>
      <c r="L50" s="1" t="s">
        <v>38</v>
      </c>
      <c r="M50" s="1" t="s">
        <v>53</v>
      </c>
      <c r="N50" s="1" t="s">
        <v>41</v>
      </c>
      <c r="O50" s="1"/>
      <c r="P50" s="1" t="s">
        <v>41</v>
      </c>
      <c r="Q50" s="1"/>
      <c r="R50" s="1" t="s">
        <v>41</v>
      </c>
      <c r="S50" s="1"/>
      <c r="T50" s="1" t="s">
        <v>41</v>
      </c>
      <c r="U50" s="1"/>
      <c r="V50" s="1" t="s">
        <v>41</v>
      </c>
      <c r="W50" s="1"/>
      <c r="X50" s="1" t="s">
        <v>41</v>
      </c>
      <c r="Y50" s="1"/>
      <c r="Z50" s="1" t="s">
        <v>41</v>
      </c>
      <c r="AA50" s="1"/>
      <c r="AB50" s="1" t="s">
        <v>68</v>
      </c>
      <c r="AC50" s="1"/>
      <c r="AD50" s="1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</row>
    <row r="51" spans="1:49" ht="14.4" x14ac:dyDescent="0.3">
      <c r="A51" s="1">
        <v>49</v>
      </c>
      <c r="B51" s="1" t="s">
        <v>452</v>
      </c>
      <c r="C51" s="1" t="str">
        <f t="shared" si="2"/>
        <v>MTI-P-001</v>
      </c>
      <c r="D51" s="16">
        <v>44620</v>
      </c>
      <c r="E51" s="16"/>
      <c r="F51" s="1" t="s">
        <v>716</v>
      </c>
      <c r="G51" s="1" t="s">
        <v>453</v>
      </c>
      <c r="H51" s="1" t="s">
        <v>36</v>
      </c>
      <c r="I51" s="1">
        <v>48</v>
      </c>
      <c r="J51" s="1">
        <v>50</v>
      </c>
      <c r="K51" s="1">
        <v>37</v>
      </c>
      <c r="L51" s="1" t="s">
        <v>41</v>
      </c>
      <c r="M51" s="1"/>
      <c r="N51" s="1" t="s">
        <v>41</v>
      </c>
      <c r="O51" s="1"/>
      <c r="P51" s="1" t="s">
        <v>41</v>
      </c>
      <c r="Q51" s="1"/>
      <c r="R51" s="1" t="s">
        <v>41</v>
      </c>
      <c r="S51" s="1"/>
      <c r="T51" s="1" t="s">
        <v>41</v>
      </c>
      <c r="U51" s="1"/>
      <c r="V51" s="1" t="s">
        <v>38</v>
      </c>
      <c r="W51" s="1" t="s">
        <v>52</v>
      </c>
      <c r="X51" s="1" t="s">
        <v>41</v>
      </c>
      <c r="Y51" s="1"/>
      <c r="Z51" s="1" t="s">
        <v>41</v>
      </c>
      <c r="AA51" s="1"/>
      <c r="AB51" s="1" t="s">
        <v>68</v>
      </c>
      <c r="AC51" s="1"/>
      <c r="AD51" s="1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</row>
    <row r="52" spans="1:49" ht="14.4" x14ac:dyDescent="0.3">
      <c r="A52" s="1">
        <v>50</v>
      </c>
      <c r="B52" s="1" t="s">
        <v>752</v>
      </c>
      <c r="C52" s="1" t="s">
        <v>456</v>
      </c>
      <c r="D52" s="16">
        <v>44881</v>
      </c>
      <c r="E52" s="16"/>
      <c r="F52" s="1" t="s">
        <v>753</v>
      </c>
      <c r="G52" s="1" t="s">
        <v>457</v>
      </c>
      <c r="H52" s="1" t="s">
        <v>36</v>
      </c>
      <c r="I52" s="1">
        <v>28</v>
      </c>
      <c r="J52" s="1">
        <v>53</v>
      </c>
      <c r="K52" s="1" t="s">
        <v>69</v>
      </c>
      <c r="L52" s="1" t="s">
        <v>38</v>
      </c>
      <c r="M52" s="1" t="s">
        <v>43</v>
      </c>
      <c r="N52" s="1" t="s">
        <v>38</v>
      </c>
      <c r="O52" s="1" t="s">
        <v>43</v>
      </c>
      <c r="P52" s="1" t="s">
        <v>38</v>
      </c>
      <c r="Q52" s="1" t="s">
        <v>43</v>
      </c>
      <c r="R52" s="1" t="s">
        <v>38</v>
      </c>
      <c r="S52" s="1" t="s">
        <v>43</v>
      </c>
      <c r="T52" s="1" t="s">
        <v>41</v>
      </c>
      <c r="U52" s="1"/>
      <c r="V52" s="1" t="s">
        <v>38</v>
      </c>
      <c r="W52" s="1" t="s">
        <v>43</v>
      </c>
      <c r="X52" s="1" t="s">
        <v>41</v>
      </c>
      <c r="Y52" s="1"/>
      <c r="Z52" s="1" t="s">
        <v>41</v>
      </c>
      <c r="AA52" s="1"/>
      <c r="AB52" s="1" t="s">
        <v>68</v>
      </c>
      <c r="AC52" s="1"/>
      <c r="AD52" s="1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</row>
    <row r="53" spans="1:49" ht="14.4" x14ac:dyDescent="0.3">
      <c r="A53" s="1">
        <v>51</v>
      </c>
      <c r="B53" s="1" t="s">
        <v>858</v>
      </c>
      <c r="C53" s="1" t="s">
        <v>859</v>
      </c>
      <c r="D53" s="16">
        <v>44627</v>
      </c>
      <c r="E53" s="16"/>
      <c r="F53" s="1" t="s">
        <v>716</v>
      </c>
      <c r="G53" s="1" t="s">
        <v>465</v>
      </c>
      <c r="H53" s="1" t="s">
        <v>87</v>
      </c>
      <c r="I53" s="1">
        <v>26</v>
      </c>
      <c r="J53" s="1">
        <v>50</v>
      </c>
      <c r="K53" s="1">
        <v>37</v>
      </c>
      <c r="L53" s="1" t="s">
        <v>41</v>
      </c>
      <c r="M53" s="1"/>
      <c r="N53" s="1" t="s">
        <v>41</v>
      </c>
      <c r="O53" s="1"/>
      <c r="P53" s="1" t="s">
        <v>41</v>
      </c>
      <c r="Q53" s="1"/>
      <c r="R53" s="1" t="s">
        <v>41</v>
      </c>
      <c r="S53" s="1"/>
      <c r="T53" s="1" t="s">
        <v>41</v>
      </c>
      <c r="U53" s="1"/>
      <c r="V53" s="1" t="s">
        <v>38</v>
      </c>
      <c r="W53" s="1" t="s">
        <v>43</v>
      </c>
      <c r="X53" s="1"/>
      <c r="Y53" s="1"/>
      <c r="Z53" s="1"/>
      <c r="AA53" s="1"/>
      <c r="AB53" s="1" t="s">
        <v>37</v>
      </c>
      <c r="AC53" s="1"/>
      <c r="AD53" s="1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</row>
    <row r="54" spans="1:49" ht="14.4" x14ac:dyDescent="0.3">
      <c r="A54" s="1">
        <v>52</v>
      </c>
      <c r="B54" s="1" t="s">
        <v>458</v>
      </c>
      <c r="C54" s="1" t="s">
        <v>458</v>
      </c>
      <c r="D54" s="16">
        <v>44937</v>
      </c>
      <c r="E54" s="16"/>
      <c r="F54" s="1" t="s">
        <v>754</v>
      </c>
      <c r="G54" s="1" t="s">
        <v>459</v>
      </c>
      <c r="H54" s="1" t="s">
        <v>36</v>
      </c>
      <c r="I54" s="1">
        <v>22</v>
      </c>
      <c r="J54" s="1">
        <v>63</v>
      </c>
      <c r="K54" s="1">
        <v>36.6</v>
      </c>
      <c r="L54" s="1" t="s">
        <v>38</v>
      </c>
      <c r="M54" s="1" t="s">
        <v>50</v>
      </c>
      <c r="N54" s="1" t="s">
        <v>41</v>
      </c>
      <c r="O54" s="1"/>
      <c r="P54" s="1" t="s">
        <v>41</v>
      </c>
      <c r="Q54" s="1"/>
      <c r="R54" s="1" t="s">
        <v>38</v>
      </c>
      <c r="S54" s="1" t="s">
        <v>132</v>
      </c>
      <c r="T54" s="1" t="s">
        <v>38</v>
      </c>
      <c r="U54" s="1" t="s">
        <v>132</v>
      </c>
      <c r="V54" s="1" t="s">
        <v>104</v>
      </c>
      <c r="W54" s="1" t="s">
        <v>132</v>
      </c>
      <c r="X54" s="1" t="s">
        <v>41</v>
      </c>
      <c r="Y54" s="1"/>
      <c r="Z54" s="1" t="s">
        <v>41</v>
      </c>
      <c r="AA54" s="1"/>
      <c r="AB54" s="1" t="s">
        <v>68</v>
      </c>
      <c r="AC54" s="1"/>
      <c r="AD54" s="1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</row>
    <row r="55" spans="1:49" ht="14.4" x14ac:dyDescent="0.3">
      <c r="A55" s="1">
        <v>53</v>
      </c>
      <c r="B55" s="1" t="s">
        <v>755</v>
      </c>
      <c r="C55" s="1" t="s">
        <v>755</v>
      </c>
      <c r="D55" s="16">
        <v>44949</v>
      </c>
      <c r="E55" s="16"/>
      <c r="F55" s="1" t="s">
        <v>716</v>
      </c>
      <c r="G55" s="1" t="s">
        <v>756</v>
      </c>
      <c r="H55" s="1" t="s">
        <v>36</v>
      </c>
      <c r="I55" s="1">
        <v>28</v>
      </c>
      <c r="J55" s="1">
        <v>68</v>
      </c>
      <c r="K55" s="1">
        <v>36.200000000000003</v>
      </c>
      <c r="L55" s="1" t="s">
        <v>38</v>
      </c>
      <c r="M55" s="1" t="s">
        <v>146</v>
      </c>
      <c r="N55" s="1" t="s">
        <v>41</v>
      </c>
      <c r="O55" s="1"/>
      <c r="P55" s="1" t="s">
        <v>41</v>
      </c>
      <c r="Q55" s="1"/>
      <c r="R55" s="1" t="s">
        <v>41</v>
      </c>
      <c r="S55" s="1"/>
      <c r="T55" s="1" t="s">
        <v>41</v>
      </c>
      <c r="U55" s="1"/>
      <c r="V55" s="1" t="s">
        <v>41</v>
      </c>
      <c r="W55" s="1"/>
      <c r="X55" s="1" t="s">
        <v>41</v>
      </c>
      <c r="Y55" s="1"/>
      <c r="Z55" s="1" t="s">
        <v>41</v>
      </c>
      <c r="AA55" s="1"/>
      <c r="AB55" s="1" t="s">
        <v>37</v>
      </c>
      <c r="AC55" s="1" t="s">
        <v>38</v>
      </c>
      <c r="AD55" s="1" t="s">
        <v>421</v>
      </c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</row>
    <row r="56" spans="1:49" ht="14.4" x14ac:dyDescent="0.3">
      <c r="A56" s="1">
        <v>54</v>
      </c>
      <c r="B56" s="1" t="s">
        <v>464</v>
      </c>
      <c r="C56" s="1" t="s">
        <v>464</v>
      </c>
      <c r="D56" s="16">
        <v>44949</v>
      </c>
      <c r="E56" s="16"/>
      <c r="F56" s="1" t="s">
        <v>716</v>
      </c>
      <c r="G56" s="1" t="s">
        <v>465</v>
      </c>
      <c r="H56" s="1" t="s">
        <v>36</v>
      </c>
      <c r="I56" s="1">
        <v>42</v>
      </c>
      <c r="J56" s="1">
        <v>60</v>
      </c>
      <c r="K56" s="1">
        <v>36.6</v>
      </c>
      <c r="L56" s="1" t="s">
        <v>38</v>
      </c>
      <c r="M56" s="1" t="s">
        <v>51</v>
      </c>
      <c r="N56" s="1" t="s">
        <v>41</v>
      </c>
      <c r="O56" s="1"/>
      <c r="P56" s="1" t="s">
        <v>41</v>
      </c>
      <c r="Q56" s="1"/>
      <c r="R56" s="1" t="s">
        <v>38</v>
      </c>
      <c r="S56" s="1" t="s">
        <v>97</v>
      </c>
      <c r="T56" s="1" t="s">
        <v>41</v>
      </c>
      <c r="U56" s="1"/>
      <c r="V56" s="1" t="s">
        <v>41</v>
      </c>
      <c r="W56" s="1"/>
      <c r="X56" s="1" t="s">
        <v>41</v>
      </c>
      <c r="Y56" s="1"/>
      <c r="Z56" s="1" t="s">
        <v>38</v>
      </c>
      <c r="AA56" s="1" t="s">
        <v>757</v>
      </c>
      <c r="AB56" s="1" t="s">
        <v>68</v>
      </c>
      <c r="AC56" s="1"/>
      <c r="AD56" s="1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</row>
    <row r="57" spans="1:49" ht="14.4" x14ac:dyDescent="0.3">
      <c r="A57" s="1">
        <v>55</v>
      </c>
      <c r="B57" s="1" t="s">
        <v>471</v>
      </c>
      <c r="C57" s="1" t="s">
        <v>471</v>
      </c>
      <c r="D57" s="16">
        <v>44957</v>
      </c>
      <c r="E57" s="16"/>
      <c r="F57" s="1" t="s">
        <v>716</v>
      </c>
      <c r="G57" s="1" t="s">
        <v>472</v>
      </c>
      <c r="H57" s="1" t="s">
        <v>87</v>
      </c>
      <c r="I57" s="1">
        <v>39</v>
      </c>
      <c r="J57" s="1">
        <v>54</v>
      </c>
      <c r="K57" s="1">
        <v>36.700000000000003</v>
      </c>
      <c r="L57" s="1" t="s">
        <v>41</v>
      </c>
      <c r="M57" s="1"/>
      <c r="N57" s="1" t="s">
        <v>41</v>
      </c>
      <c r="O57" s="1"/>
      <c r="P57" s="1" t="s">
        <v>41</v>
      </c>
      <c r="Q57" s="1"/>
      <c r="R57" s="1" t="s">
        <v>38</v>
      </c>
      <c r="S57" s="1" t="s">
        <v>97</v>
      </c>
      <c r="T57" s="1" t="s">
        <v>41</v>
      </c>
      <c r="U57" s="1"/>
      <c r="V57" s="1" t="s">
        <v>41</v>
      </c>
      <c r="W57" s="1"/>
      <c r="X57" s="1" t="s">
        <v>41</v>
      </c>
      <c r="Y57" s="1"/>
      <c r="Z57" s="1" t="s">
        <v>41</v>
      </c>
      <c r="AA57" s="1"/>
      <c r="AB57" s="1" t="s">
        <v>37</v>
      </c>
      <c r="AC57" s="1" t="s">
        <v>38</v>
      </c>
      <c r="AD57" s="1" t="s">
        <v>758</v>
      </c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</row>
    <row r="58" spans="1:49" ht="14.4" x14ac:dyDescent="0.3">
      <c r="A58" s="1">
        <v>56</v>
      </c>
      <c r="B58" s="1" t="s">
        <v>477</v>
      </c>
      <c r="C58" s="1" t="s">
        <v>477</v>
      </c>
      <c r="D58" s="16">
        <v>44949</v>
      </c>
      <c r="E58" s="16"/>
      <c r="F58" s="1" t="s">
        <v>716</v>
      </c>
      <c r="G58" s="1" t="s">
        <v>478</v>
      </c>
      <c r="H58" s="1" t="s">
        <v>87</v>
      </c>
      <c r="I58" s="1">
        <v>29</v>
      </c>
      <c r="J58" s="1">
        <v>54</v>
      </c>
      <c r="K58" s="1">
        <v>36.799999999999997</v>
      </c>
      <c r="L58" s="1" t="s">
        <v>38</v>
      </c>
      <c r="M58" s="1" t="s">
        <v>132</v>
      </c>
      <c r="N58" s="1" t="s">
        <v>41</v>
      </c>
      <c r="O58" s="1"/>
      <c r="P58" s="1" t="s">
        <v>41</v>
      </c>
      <c r="Q58" s="1"/>
      <c r="R58" s="1" t="s">
        <v>41</v>
      </c>
      <c r="S58" s="1"/>
      <c r="T58" s="1" t="s">
        <v>41</v>
      </c>
      <c r="U58" s="1"/>
      <c r="V58" s="1" t="s">
        <v>38</v>
      </c>
      <c r="W58" s="1" t="s">
        <v>97</v>
      </c>
      <c r="X58" s="1" t="s">
        <v>41</v>
      </c>
      <c r="Y58" s="1"/>
      <c r="Z58" s="1" t="s">
        <v>41</v>
      </c>
      <c r="AA58" s="1"/>
      <c r="AB58" s="1" t="s">
        <v>37</v>
      </c>
      <c r="AC58" s="1" t="s">
        <v>38</v>
      </c>
      <c r="AD58" s="1" t="s">
        <v>51</v>
      </c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</row>
    <row r="59" spans="1:49" ht="14.4" x14ac:dyDescent="0.3">
      <c r="A59" s="1">
        <v>57</v>
      </c>
      <c r="B59" s="1" t="s">
        <v>456</v>
      </c>
      <c r="C59" s="1" t="s">
        <v>456</v>
      </c>
      <c r="D59" s="16">
        <v>45246</v>
      </c>
      <c r="E59" s="16"/>
      <c r="F59" s="1" t="s">
        <v>716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</row>
    <row r="60" spans="1:49" ht="14.4" x14ac:dyDescent="0.3">
      <c r="A60" s="1">
        <v>58</v>
      </c>
      <c r="B60" s="1" t="s">
        <v>492</v>
      </c>
      <c r="C60" s="1" t="s">
        <v>492</v>
      </c>
      <c r="D60" s="16">
        <v>44957</v>
      </c>
      <c r="E60" s="16"/>
      <c r="F60" s="1" t="s">
        <v>716</v>
      </c>
      <c r="G60" s="1" t="s">
        <v>493</v>
      </c>
      <c r="H60" s="1" t="s">
        <v>36</v>
      </c>
      <c r="I60" s="1">
        <v>32</v>
      </c>
      <c r="J60" s="1">
        <v>66</v>
      </c>
      <c r="K60" s="1">
        <v>37</v>
      </c>
      <c r="L60" s="1" t="s">
        <v>38</v>
      </c>
      <c r="M60" s="1" t="s">
        <v>132</v>
      </c>
      <c r="N60" s="1" t="s">
        <v>38</v>
      </c>
      <c r="O60" s="1" t="s">
        <v>65</v>
      </c>
      <c r="P60" s="1" t="s">
        <v>38</v>
      </c>
      <c r="Q60" s="1" t="s">
        <v>132</v>
      </c>
      <c r="R60" s="1" t="s">
        <v>38</v>
      </c>
      <c r="S60" s="1" t="s">
        <v>132</v>
      </c>
      <c r="T60" s="1" t="s">
        <v>41</v>
      </c>
      <c r="U60" s="1"/>
      <c r="V60" s="1" t="s">
        <v>41</v>
      </c>
      <c r="W60" s="1"/>
      <c r="X60" s="1" t="s">
        <v>41</v>
      </c>
      <c r="Y60" s="1"/>
      <c r="Z60" s="1" t="s">
        <v>41</v>
      </c>
      <c r="AA60" s="1"/>
      <c r="AB60" s="1" t="s">
        <v>37</v>
      </c>
      <c r="AC60" s="1" t="s">
        <v>38</v>
      </c>
      <c r="AD60" s="1" t="s">
        <v>157</v>
      </c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</row>
    <row r="61" spans="1:49" ht="14.4" x14ac:dyDescent="0.3">
      <c r="A61" s="1">
        <v>59</v>
      </c>
      <c r="B61" s="1" t="s">
        <v>495</v>
      </c>
      <c r="C61" s="1" t="s">
        <v>495</v>
      </c>
      <c r="D61" s="16">
        <v>44957</v>
      </c>
      <c r="E61" s="16"/>
      <c r="F61" s="1" t="s">
        <v>716</v>
      </c>
      <c r="G61" s="1" t="s">
        <v>496</v>
      </c>
      <c r="H61" s="1" t="s">
        <v>36</v>
      </c>
      <c r="I61" s="1">
        <v>37</v>
      </c>
      <c r="J61" s="1">
        <v>60</v>
      </c>
      <c r="K61" s="1">
        <v>36.6</v>
      </c>
      <c r="L61" s="1" t="s">
        <v>38</v>
      </c>
      <c r="M61" s="1" t="s">
        <v>55</v>
      </c>
      <c r="N61" s="1" t="s">
        <v>41</v>
      </c>
      <c r="O61" s="1"/>
      <c r="P61" s="1" t="s">
        <v>41</v>
      </c>
      <c r="Q61" s="1"/>
      <c r="R61" s="1" t="s">
        <v>41</v>
      </c>
      <c r="S61" s="1"/>
      <c r="T61" s="1" t="s">
        <v>41</v>
      </c>
      <c r="U61" s="1"/>
      <c r="V61" s="1" t="s">
        <v>41</v>
      </c>
      <c r="W61" s="1"/>
      <c r="X61" s="1" t="s">
        <v>41</v>
      </c>
      <c r="Y61" s="1"/>
      <c r="Z61" s="1" t="s">
        <v>38</v>
      </c>
      <c r="AA61" s="1" t="s">
        <v>759</v>
      </c>
      <c r="AB61" s="1" t="s">
        <v>68</v>
      </c>
      <c r="AC61" s="1"/>
      <c r="AD61" s="1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</row>
    <row r="62" spans="1:49" ht="14.4" x14ac:dyDescent="0.3">
      <c r="A62" s="1">
        <v>60</v>
      </c>
      <c r="B62" s="1" t="s">
        <v>505</v>
      </c>
      <c r="C62" s="1" t="s">
        <v>505</v>
      </c>
      <c r="D62" s="16">
        <v>44949</v>
      </c>
      <c r="E62" s="16"/>
      <c r="F62" s="1" t="s">
        <v>716</v>
      </c>
      <c r="G62" s="1" t="s">
        <v>506</v>
      </c>
      <c r="H62" s="1" t="s">
        <v>87</v>
      </c>
      <c r="I62" s="1">
        <v>28</v>
      </c>
      <c r="J62" s="1">
        <v>57</v>
      </c>
      <c r="K62" s="1">
        <v>36.799999999999997</v>
      </c>
      <c r="L62" s="1" t="s">
        <v>38</v>
      </c>
      <c r="M62" s="1" t="s">
        <v>50</v>
      </c>
      <c r="N62" s="1" t="s">
        <v>41</v>
      </c>
      <c r="O62" s="1"/>
      <c r="P62" s="1" t="s">
        <v>38</v>
      </c>
      <c r="Q62" s="1" t="s">
        <v>760</v>
      </c>
      <c r="R62" s="1" t="s">
        <v>41</v>
      </c>
      <c r="S62" s="1"/>
      <c r="T62" s="1" t="s">
        <v>41</v>
      </c>
      <c r="U62" s="1"/>
      <c r="V62" s="1" t="s">
        <v>41</v>
      </c>
      <c r="W62" s="1"/>
      <c r="X62" s="1" t="s">
        <v>41</v>
      </c>
      <c r="Y62" s="1"/>
      <c r="Z62" s="1" t="s">
        <v>41</v>
      </c>
      <c r="AA62" s="1"/>
      <c r="AB62" s="1" t="s">
        <v>68</v>
      </c>
      <c r="AC62" s="1"/>
      <c r="AD62" s="1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</row>
    <row r="63" spans="1:49" ht="14.4" x14ac:dyDescent="0.3">
      <c r="A63" s="1">
        <v>61</v>
      </c>
      <c r="B63" s="1" t="s">
        <v>502</v>
      </c>
      <c r="C63" s="1" t="s">
        <v>502</v>
      </c>
      <c r="D63" s="16">
        <v>44937</v>
      </c>
      <c r="E63" s="16"/>
      <c r="F63" s="1" t="s">
        <v>761</v>
      </c>
      <c r="G63" s="1" t="s">
        <v>503</v>
      </c>
      <c r="H63" s="1" t="s">
        <v>36</v>
      </c>
      <c r="I63" s="1">
        <v>52</v>
      </c>
      <c r="J63" s="1">
        <v>45</v>
      </c>
      <c r="K63" s="1">
        <v>36.799999999999997</v>
      </c>
      <c r="L63" s="1" t="s">
        <v>38</v>
      </c>
      <c r="M63" s="1" t="s">
        <v>55</v>
      </c>
      <c r="N63" s="1" t="s">
        <v>41</v>
      </c>
      <c r="O63" s="1"/>
      <c r="P63" s="1" t="s">
        <v>41</v>
      </c>
      <c r="Q63" s="1"/>
      <c r="R63" s="1" t="s">
        <v>41</v>
      </c>
      <c r="S63" s="1"/>
      <c r="T63" s="1" t="s">
        <v>41</v>
      </c>
      <c r="U63" s="1"/>
      <c r="V63" s="1" t="s">
        <v>41</v>
      </c>
      <c r="W63" s="1"/>
      <c r="X63" s="1" t="s">
        <v>41</v>
      </c>
      <c r="Y63" s="1"/>
      <c r="Z63" s="1" t="s">
        <v>41</v>
      </c>
      <c r="AA63" s="1"/>
      <c r="AB63" s="1" t="s">
        <v>68</v>
      </c>
      <c r="AC63" s="1"/>
      <c r="AD63" s="1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</row>
    <row r="64" spans="1:49" ht="14.4" x14ac:dyDescent="0.3">
      <c r="A64" s="1">
        <v>62</v>
      </c>
      <c r="B64" s="1" t="s">
        <v>538</v>
      </c>
      <c r="C64" s="1" t="s">
        <v>538</v>
      </c>
      <c r="D64" s="16">
        <v>44937</v>
      </c>
      <c r="E64" s="16"/>
      <c r="F64" s="1" t="s">
        <v>716</v>
      </c>
      <c r="G64" s="1" t="s">
        <v>762</v>
      </c>
      <c r="H64" s="1" t="s">
        <v>36</v>
      </c>
      <c r="I64" s="1">
        <v>37</v>
      </c>
      <c r="J64" s="1">
        <v>51</v>
      </c>
      <c r="K64" s="1">
        <v>36.299999999999997</v>
      </c>
      <c r="L64" s="1" t="s">
        <v>38</v>
      </c>
      <c r="M64" s="1" t="s">
        <v>634</v>
      </c>
      <c r="N64" s="1" t="s">
        <v>41</v>
      </c>
      <c r="O64" s="1"/>
      <c r="P64" s="1" t="s">
        <v>38</v>
      </c>
      <c r="Q64" s="1" t="s">
        <v>55</v>
      </c>
      <c r="R64" s="1" t="s">
        <v>41</v>
      </c>
      <c r="S64" s="1"/>
      <c r="T64" s="1" t="s">
        <v>41</v>
      </c>
      <c r="U64" s="1"/>
      <c r="V64" s="1" t="s">
        <v>41</v>
      </c>
      <c r="W64" s="1"/>
      <c r="X64" s="1" t="s">
        <v>41</v>
      </c>
      <c r="Y64" s="1"/>
      <c r="Z64" s="1" t="s">
        <v>41</v>
      </c>
      <c r="AA64" s="1"/>
      <c r="AB64" s="1" t="s">
        <v>68</v>
      </c>
      <c r="AC64" s="1"/>
      <c r="AD64" s="1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</row>
    <row r="65" spans="1:49" ht="14.4" x14ac:dyDescent="0.3">
      <c r="A65" s="1">
        <v>63</v>
      </c>
      <c r="B65" s="1" t="s">
        <v>560</v>
      </c>
      <c r="C65" s="1" t="s">
        <v>560</v>
      </c>
      <c r="D65" s="16">
        <v>44949</v>
      </c>
      <c r="E65" s="16"/>
      <c r="F65" s="1" t="s">
        <v>716</v>
      </c>
      <c r="G65" s="1" t="s">
        <v>493</v>
      </c>
      <c r="H65" s="1" t="s">
        <v>36</v>
      </c>
      <c r="I65" s="1">
        <v>20</v>
      </c>
      <c r="J65" s="1">
        <v>51</v>
      </c>
      <c r="K65" s="1">
        <v>36.799999999999997</v>
      </c>
      <c r="L65" s="1" t="s">
        <v>38</v>
      </c>
      <c r="M65" s="1" t="s">
        <v>157</v>
      </c>
      <c r="N65" s="1" t="s">
        <v>41</v>
      </c>
      <c r="O65" s="1"/>
      <c r="P65" s="1" t="s">
        <v>41</v>
      </c>
      <c r="Q65" s="1"/>
      <c r="R65" s="1" t="s">
        <v>41</v>
      </c>
      <c r="S65" s="1"/>
      <c r="T65" s="1" t="s">
        <v>41</v>
      </c>
      <c r="U65" s="1"/>
      <c r="V65" s="1" t="s">
        <v>41</v>
      </c>
      <c r="W65" s="1"/>
      <c r="X65" s="1" t="s">
        <v>41</v>
      </c>
      <c r="Y65" s="1"/>
      <c r="Z65" s="1" t="s">
        <v>38</v>
      </c>
      <c r="AA65" s="1" t="s">
        <v>759</v>
      </c>
      <c r="AB65" s="1" t="s">
        <v>68</v>
      </c>
      <c r="AC65" s="1"/>
      <c r="AD65" s="1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</row>
    <row r="66" spans="1:49" ht="14.4" x14ac:dyDescent="0.3">
      <c r="A66" s="1">
        <v>64</v>
      </c>
      <c r="B66" s="1" t="s">
        <v>589</v>
      </c>
      <c r="C66" s="1" t="s">
        <v>589</v>
      </c>
      <c r="D66" s="16">
        <v>44936</v>
      </c>
      <c r="E66" s="16"/>
      <c r="F66" s="1" t="s">
        <v>716</v>
      </c>
      <c r="G66" s="1" t="s">
        <v>590</v>
      </c>
      <c r="H66" s="1" t="s">
        <v>36</v>
      </c>
      <c r="I66" s="1">
        <v>27</v>
      </c>
      <c r="J66" s="1">
        <v>62</v>
      </c>
      <c r="K66" s="1">
        <v>36.200000000000003</v>
      </c>
      <c r="L66" s="1" t="s">
        <v>38</v>
      </c>
      <c r="M66" s="1" t="s">
        <v>103</v>
      </c>
      <c r="N66" s="1" t="s">
        <v>41</v>
      </c>
      <c r="O66" s="1"/>
      <c r="P66" s="1" t="s">
        <v>41</v>
      </c>
      <c r="Q66" s="1"/>
      <c r="R66" s="1" t="s">
        <v>38</v>
      </c>
      <c r="S66" s="1" t="s">
        <v>65</v>
      </c>
      <c r="T66" s="1" t="s">
        <v>41</v>
      </c>
      <c r="U66" s="1"/>
      <c r="V66" s="1" t="s">
        <v>41</v>
      </c>
      <c r="W66" s="1"/>
      <c r="X66" s="1" t="s">
        <v>41</v>
      </c>
      <c r="Y66" s="1"/>
      <c r="Z66" s="1" t="s">
        <v>41</v>
      </c>
      <c r="AA66" s="1" t="s">
        <v>41</v>
      </c>
      <c r="AB66" s="1" t="s">
        <v>68</v>
      </c>
      <c r="AC66" s="1"/>
      <c r="AD66" s="1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</row>
    <row r="67" spans="1:49" ht="14.4" x14ac:dyDescent="0.3">
      <c r="A67" s="1">
        <v>65</v>
      </c>
      <c r="B67" s="1" t="s">
        <v>593</v>
      </c>
      <c r="C67" s="1" t="s">
        <v>593</v>
      </c>
      <c r="D67" s="16">
        <v>44936</v>
      </c>
      <c r="E67" s="16"/>
      <c r="F67" s="1" t="s">
        <v>716</v>
      </c>
      <c r="G67" s="1" t="s">
        <v>594</v>
      </c>
      <c r="H67" s="1" t="s">
        <v>36</v>
      </c>
      <c r="I67" s="1">
        <v>43</v>
      </c>
      <c r="J67" s="1">
        <v>63</v>
      </c>
      <c r="K67" s="1">
        <v>36.5</v>
      </c>
      <c r="L67" s="1" t="s">
        <v>38</v>
      </c>
      <c r="M67" s="1" t="s">
        <v>763</v>
      </c>
      <c r="N67" s="1" t="s">
        <v>41</v>
      </c>
      <c r="O67" s="1"/>
      <c r="P67" s="1" t="s">
        <v>41</v>
      </c>
      <c r="Q67" s="1"/>
      <c r="R67" s="1" t="s">
        <v>41</v>
      </c>
      <c r="S67" s="1"/>
      <c r="T67" s="1" t="s">
        <v>41</v>
      </c>
      <c r="U67" s="1"/>
      <c r="V67" s="1" t="s">
        <v>41</v>
      </c>
      <c r="W67" s="1"/>
      <c r="X67" s="1" t="s">
        <v>41</v>
      </c>
      <c r="Y67" s="1"/>
      <c r="Z67" s="1" t="s">
        <v>41</v>
      </c>
      <c r="AA67" s="1" t="s">
        <v>41</v>
      </c>
      <c r="AB67" s="1" t="s">
        <v>37</v>
      </c>
      <c r="AC67" s="1" t="s">
        <v>596</v>
      </c>
      <c r="AD67" s="1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</row>
    <row r="68" spans="1:49" ht="14.4" x14ac:dyDescent="0.3">
      <c r="A68" s="1">
        <v>66</v>
      </c>
      <c r="B68" s="1" t="s">
        <v>606</v>
      </c>
      <c r="C68" s="1" t="s">
        <v>606</v>
      </c>
      <c r="D68" s="16">
        <v>44945</v>
      </c>
      <c r="E68" s="16"/>
      <c r="F68" s="1" t="s">
        <v>716</v>
      </c>
      <c r="G68" s="1" t="s">
        <v>478</v>
      </c>
      <c r="H68" s="1" t="s">
        <v>87</v>
      </c>
      <c r="I68" s="1">
        <v>30</v>
      </c>
      <c r="J68" s="1">
        <v>62</v>
      </c>
      <c r="K68" s="1">
        <v>36.4</v>
      </c>
      <c r="L68" s="1" t="s">
        <v>38</v>
      </c>
      <c r="M68" s="1" t="s">
        <v>50</v>
      </c>
      <c r="N68" s="1" t="s">
        <v>41</v>
      </c>
      <c r="O68" s="1"/>
      <c r="P68" s="1" t="s">
        <v>41</v>
      </c>
      <c r="Q68" s="1"/>
      <c r="R68" s="1" t="s">
        <v>38</v>
      </c>
      <c r="S68" s="1" t="s">
        <v>50</v>
      </c>
      <c r="T68" s="1" t="s">
        <v>41</v>
      </c>
      <c r="U68" s="1"/>
      <c r="V68" s="1" t="s">
        <v>41</v>
      </c>
      <c r="W68" s="1"/>
      <c r="X68" s="1" t="s">
        <v>41</v>
      </c>
      <c r="Y68" s="1"/>
      <c r="Z68" s="1" t="s">
        <v>41</v>
      </c>
      <c r="AA68" s="1" t="s">
        <v>41</v>
      </c>
      <c r="AB68" s="1" t="s">
        <v>37</v>
      </c>
      <c r="AC68" s="1" t="s">
        <v>596</v>
      </c>
      <c r="AD68" s="1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</row>
    <row r="69" spans="1:49" ht="14.4" x14ac:dyDescent="0.3">
      <c r="A69" s="1">
        <v>67</v>
      </c>
      <c r="B69" s="1" t="s">
        <v>628</v>
      </c>
      <c r="C69" s="1" t="s">
        <v>628</v>
      </c>
      <c r="D69" s="16">
        <v>44208</v>
      </c>
      <c r="E69" s="16"/>
      <c r="F69" s="1" t="s">
        <v>716</v>
      </c>
      <c r="G69" s="1" t="s">
        <v>535</v>
      </c>
      <c r="H69" s="1" t="s">
        <v>36</v>
      </c>
      <c r="I69" s="1">
        <v>47</v>
      </c>
      <c r="J69" s="1">
        <v>57</v>
      </c>
      <c r="K69" s="1">
        <v>36.200000000000003</v>
      </c>
      <c r="L69" s="1" t="s">
        <v>38</v>
      </c>
      <c r="M69" s="1" t="s">
        <v>132</v>
      </c>
      <c r="N69" s="1" t="s">
        <v>41</v>
      </c>
      <c r="O69" s="1"/>
      <c r="P69" s="1" t="s">
        <v>38</v>
      </c>
      <c r="Q69" s="1" t="s">
        <v>132</v>
      </c>
      <c r="R69" s="1" t="s">
        <v>38</v>
      </c>
      <c r="S69" s="1" t="s">
        <v>132</v>
      </c>
      <c r="T69" s="1" t="s">
        <v>41</v>
      </c>
      <c r="U69" s="1"/>
      <c r="V69" s="1" t="s">
        <v>41</v>
      </c>
      <c r="W69" s="1"/>
      <c r="X69" s="1" t="s">
        <v>41</v>
      </c>
      <c r="Y69" s="1"/>
      <c r="Z69" s="1" t="s">
        <v>41</v>
      </c>
      <c r="AA69" s="1" t="s">
        <v>41</v>
      </c>
      <c r="AB69" s="1" t="s">
        <v>68</v>
      </c>
      <c r="AC69" s="1"/>
      <c r="AD69" s="1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</row>
    <row r="70" spans="1:49" ht="14.4" x14ac:dyDescent="0.3">
      <c r="A70" s="1">
        <v>68</v>
      </c>
      <c r="B70" s="1" t="s">
        <v>630</v>
      </c>
      <c r="C70" s="1" t="s">
        <v>630</v>
      </c>
      <c r="D70" s="16">
        <v>44936</v>
      </c>
      <c r="E70" s="16"/>
      <c r="F70" s="1"/>
      <c r="G70" s="1" t="s">
        <v>478</v>
      </c>
      <c r="H70" s="1" t="s">
        <v>87</v>
      </c>
      <c r="I70" s="1">
        <v>20</v>
      </c>
      <c r="J70" s="1" t="s">
        <v>69</v>
      </c>
      <c r="K70" s="1">
        <v>36.200000000000003</v>
      </c>
      <c r="L70" s="1" t="s">
        <v>38</v>
      </c>
      <c r="M70" s="1" t="s">
        <v>258</v>
      </c>
      <c r="N70" s="1" t="s">
        <v>38</v>
      </c>
      <c r="O70" s="1" t="s">
        <v>162</v>
      </c>
      <c r="P70" s="1" t="s">
        <v>41</v>
      </c>
      <c r="Q70" s="1"/>
      <c r="R70" s="1" t="s">
        <v>41</v>
      </c>
      <c r="S70" s="1"/>
      <c r="T70" s="1" t="s">
        <v>41</v>
      </c>
      <c r="U70" s="1"/>
      <c r="V70" s="1" t="s">
        <v>38</v>
      </c>
      <c r="W70" s="1" t="s">
        <v>132</v>
      </c>
      <c r="X70" s="1" t="s">
        <v>41</v>
      </c>
      <c r="Y70" s="1"/>
      <c r="Z70" s="1" t="s">
        <v>41</v>
      </c>
      <c r="AA70" s="1" t="s">
        <v>41</v>
      </c>
      <c r="AB70" s="1" t="s">
        <v>68</v>
      </c>
      <c r="AC70" s="1"/>
      <c r="AD70" s="1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</row>
    <row r="71" spans="1:49" ht="14.4" x14ac:dyDescent="0.3">
      <c r="A71" s="1">
        <v>69</v>
      </c>
      <c r="B71" s="1" t="s">
        <v>764</v>
      </c>
      <c r="C71" s="1" t="s">
        <v>764</v>
      </c>
      <c r="D71" s="16">
        <v>44936</v>
      </c>
      <c r="E71" s="16"/>
      <c r="F71" s="1"/>
      <c r="G71" s="1" t="s">
        <v>765</v>
      </c>
      <c r="H71" s="1" t="s">
        <v>36</v>
      </c>
      <c r="I71" s="1">
        <v>34</v>
      </c>
      <c r="J71" s="1">
        <v>55</v>
      </c>
      <c r="K71" s="1">
        <v>36.200000000000003</v>
      </c>
      <c r="L71" s="1" t="s">
        <v>41</v>
      </c>
      <c r="M71" s="1"/>
      <c r="N71" s="1" t="s">
        <v>41</v>
      </c>
      <c r="O71" s="1"/>
      <c r="P71" s="1" t="s">
        <v>41</v>
      </c>
      <c r="Q71" s="1"/>
      <c r="R71" s="1" t="s">
        <v>38</v>
      </c>
      <c r="S71" s="1" t="s">
        <v>43</v>
      </c>
      <c r="T71" s="1" t="s">
        <v>41</v>
      </c>
      <c r="U71" s="1"/>
      <c r="V71" s="1" t="s">
        <v>41</v>
      </c>
      <c r="W71" s="1"/>
      <c r="X71" s="1" t="s">
        <v>41</v>
      </c>
      <c r="Y71" s="1"/>
      <c r="Z71" s="1" t="s">
        <v>41</v>
      </c>
      <c r="AA71" s="1" t="s">
        <v>41</v>
      </c>
      <c r="AB71" s="1" t="s">
        <v>68</v>
      </c>
      <c r="AC71" s="1"/>
      <c r="AD71" s="1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</row>
    <row r="72" spans="1:49" ht="14.4" x14ac:dyDescent="0.3">
      <c r="A72" s="1">
        <v>70</v>
      </c>
      <c r="B72" s="1" t="s">
        <v>766</v>
      </c>
      <c r="C72" s="1" t="s">
        <v>766</v>
      </c>
      <c r="D72" s="16">
        <v>44936</v>
      </c>
      <c r="E72" s="16"/>
      <c r="F72" s="1"/>
      <c r="G72" s="1" t="s">
        <v>767</v>
      </c>
      <c r="H72" s="1" t="s">
        <v>36</v>
      </c>
      <c r="I72" s="1">
        <v>33</v>
      </c>
      <c r="J72" s="1">
        <v>58</v>
      </c>
      <c r="K72" s="1">
        <v>36.5</v>
      </c>
      <c r="L72" s="1" t="s">
        <v>41</v>
      </c>
      <c r="M72" s="1"/>
      <c r="N72" s="1" t="s">
        <v>41</v>
      </c>
      <c r="O72" s="1"/>
      <c r="P72" s="1" t="s">
        <v>41</v>
      </c>
      <c r="Q72" s="1"/>
      <c r="R72" s="1" t="s">
        <v>41</v>
      </c>
      <c r="S72" s="1"/>
      <c r="T72" s="1" t="s">
        <v>41</v>
      </c>
      <c r="U72" s="1"/>
      <c r="V72" s="1" t="s">
        <v>38</v>
      </c>
      <c r="W72" s="1" t="s">
        <v>768</v>
      </c>
      <c r="X72" s="1" t="s">
        <v>41</v>
      </c>
      <c r="Y72" s="1"/>
      <c r="Z72" s="1" t="s">
        <v>41</v>
      </c>
      <c r="AA72" s="1" t="s">
        <v>41</v>
      </c>
      <c r="AB72" s="1" t="s">
        <v>68</v>
      </c>
      <c r="AC72" s="1"/>
      <c r="AD72" s="1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</row>
    <row r="73" spans="1:49" ht="14.4" x14ac:dyDescent="0.3">
      <c r="A73" s="1">
        <v>71</v>
      </c>
      <c r="B73" s="1" t="s">
        <v>369</v>
      </c>
      <c r="C73" s="1" t="str">
        <f t="shared" ref="C73:C81" si="3">MID(B73, 4, LEN(B73)-3) &amp; "-" &amp; LEFT(B73, 3)</f>
        <v>MTI-P-033</v>
      </c>
      <c r="D73" s="19">
        <v>44991</v>
      </c>
      <c r="E73" s="19"/>
      <c r="F73" s="1" t="s">
        <v>714</v>
      </c>
      <c r="G73" s="1" t="s">
        <v>426</v>
      </c>
      <c r="H73" s="1" t="s">
        <v>87</v>
      </c>
      <c r="I73" s="1">
        <v>21</v>
      </c>
      <c r="J73" s="1">
        <v>57</v>
      </c>
      <c r="K73" s="1">
        <v>37</v>
      </c>
      <c r="L73" s="1" t="s">
        <v>41</v>
      </c>
      <c r="M73" s="1"/>
      <c r="N73" s="1" t="s">
        <v>41</v>
      </c>
      <c r="O73" s="1"/>
      <c r="P73" s="1" t="s">
        <v>41</v>
      </c>
      <c r="Q73" s="1"/>
      <c r="R73" s="1" t="s">
        <v>41</v>
      </c>
      <c r="S73" s="1"/>
      <c r="T73" s="1" t="s">
        <v>41</v>
      </c>
      <c r="U73" s="1"/>
      <c r="V73" s="1" t="s">
        <v>41</v>
      </c>
      <c r="W73" s="1"/>
      <c r="X73" s="1" t="s">
        <v>41</v>
      </c>
      <c r="Y73" s="1"/>
      <c r="Z73" s="1" t="s">
        <v>41</v>
      </c>
      <c r="AA73" s="1" t="s">
        <v>41</v>
      </c>
      <c r="AB73" s="1" t="s">
        <v>68</v>
      </c>
      <c r="AC73" s="1"/>
      <c r="AD73" s="1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</row>
    <row r="74" spans="1:49" ht="14.4" x14ac:dyDescent="0.3">
      <c r="A74" s="1">
        <v>72</v>
      </c>
      <c r="B74" s="1" t="s">
        <v>367</v>
      </c>
      <c r="C74" s="1" t="str">
        <f t="shared" si="3"/>
        <v>MTI-P-034</v>
      </c>
      <c r="D74" s="19">
        <v>45000</v>
      </c>
      <c r="E74" s="19"/>
      <c r="F74" s="1" t="s">
        <v>714</v>
      </c>
      <c r="G74" s="1" t="s">
        <v>420</v>
      </c>
      <c r="H74" s="1" t="s">
        <v>36</v>
      </c>
      <c r="I74" s="1">
        <v>44</v>
      </c>
      <c r="J74" s="1">
        <v>53</v>
      </c>
      <c r="K74" s="1">
        <v>37</v>
      </c>
      <c r="L74" s="1" t="s">
        <v>41</v>
      </c>
      <c r="M74" s="1"/>
      <c r="N74" s="1" t="s">
        <v>41</v>
      </c>
      <c r="O74" s="1"/>
      <c r="P74" s="1" t="s">
        <v>41</v>
      </c>
      <c r="Q74" s="1"/>
      <c r="R74" s="1" t="s">
        <v>41</v>
      </c>
      <c r="S74" s="1"/>
      <c r="T74" s="1" t="s">
        <v>41</v>
      </c>
      <c r="U74" s="1"/>
      <c r="V74" s="1" t="s">
        <v>41</v>
      </c>
      <c r="W74" s="1"/>
      <c r="X74" s="1" t="s">
        <v>41</v>
      </c>
      <c r="Y74" s="1"/>
      <c r="Z74" s="1" t="s">
        <v>41</v>
      </c>
      <c r="AA74" s="1" t="s">
        <v>41</v>
      </c>
      <c r="AB74" s="1" t="s">
        <v>68</v>
      </c>
      <c r="AC74" s="1"/>
      <c r="AD74" s="1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</row>
    <row r="75" spans="1:49" ht="14.4" x14ac:dyDescent="0.3">
      <c r="A75" s="1">
        <v>73</v>
      </c>
      <c r="B75" s="1" t="s">
        <v>389</v>
      </c>
      <c r="C75" s="1" t="str">
        <f t="shared" si="3"/>
        <v>MTI-P-027</v>
      </c>
      <c r="D75" s="16">
        <v>45000</v>
      </c>
      <c r="E75" s="16"/>
      <c r="F75" s="1" t="s">
        <v>714</v>
      </c>
      <c r="G75" s="1" t="s">
        <v>390</v>
      </c>
      <c r="H75" s="1" t="s">
        <v>36</v>
      </c>
      <c r="I75" s="1">
        <v>52</v>
      </c>
      <c r="J75" s="1">
        <v>37</v>
      </c>
      <c r="K75" s="1">
        <v>37</v>
      </c>
      <c r="L75" s="1" t="s">
        <v>41</v>
      </c>
      <c r="M75" s="1"/>
      <c r="N75" s="1" t="s">
        <v>41</v>
      </c>
      <c r="O75" s="1"/>
      <c r="P75" s="1" t="s">
        <v>41</v>
      </c>
      <c r="Q75" s="1"/>
      <c r="R75" s="1" t="s">
        <v>41</v>
      </c>
      <c r="S75" s="1"/>
      <c r="T75" s="1" t="s">
        <v>41</v>
      </c>
      <c r="U75" s="1"/>
      <c r="V75" s="1" t="s">
        <v>41</v>
      </c>
      <c r="W75" s="1"/>
      <c r="X75" s="1" t="s">
        <v>41</v>
      </c>
      <c r="Y75" s="1"/>
      <c r="Z75" s="1" t="s">
        <v>41</v>
      </c>
      <c r="AA75" s="1" t="s">
        <v>41</v>
      </c>
      <c r="AB75" s="1" t="s">
        <v>37</v>
      </c>
      <c r="AC75" s="1" t="s">
        <v>596</v>
      </c>
      <c r="AD75" s="1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</row>
    <row r="76" spans="1:49" ht="14.4" x14ac:dyDescent="0.3">
      <c r="A76" s="1">
        <v>74</v>
      </c>
      <c r="B76" s="1" t="s">
        <v>376</v>
      </c>
      <c r="C76" s="1" t="str">
        <f t="shared" si="3"/>
        <v>MTI-P-031</v>
      </c>
      <c r="D76" s="16">
        <v>45007</v>
      </c>
      <c r="E76" s="16"/>
      <c r="F76" s="1" t="s">
        <v>714</v>
      </c>
      <c r="G76" s="1" t="s">
        <v>377</v>
      </c>
      <c r="H76" s="1" t="s">
        <v>36</v>
      </c>
      <c r="I76" s="1">
        <v>36</v>
      </c>
      <c r="J76" s="1">
        <v>61</v>
      </c>
      <c r="K76" s="1">
        <v>36</v>
      </c>
      <c r="L76" s="1" t="s">
        <v>41</v>
      </c>
      <c r="M76" s="1"/>
      <c r="N76" s="1" t="s">
        <v>41</v>
      </c>
      <c r="O76" s="1"/>
      <c r="P76" s="1" t="s">
        <v>41</v>
      </c>
      <c r="Q76" s="1"/>
      <c r="R76" s="1" t="s">
        <v>41</v>
      </c>
      <c r="S76" s="1"/>
      <c r="T76" s="1" t="s">
        <v>41</v>
      </c>
      <c r="U76" s="1"/>
      <c r="V76" s="1" t="s">
        <v>41</v>
      </c>
      <c r="W76" s="1"/>
      <c r="X76" s="1" t="s">
        <v>41</v>
      </c>
      <c r="Y76" s="1"/>
      <c r="Z76" s="1" t="s">
        <v>38</v>
      </c>
      <c r="AA76" s="1" t="s">
        <v>769</v>
      </c>
      <c r="AB76" s="1" t="s">
        <v>68</v>
      </c>
      <c r="AC76" s="1"/>
      <c r="AD76" s="1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</row>
    <row r="77" spans="1:49" ht="14.4" x14ac:dyDescent="0.3">
      <c r="A77" s="1">
        <v>75</v>
      </c>
      <c r="B77" s="1" t="s">
        <v>355</v>
      </c>
      <c r="C77" s="1" t="str">
        <f t="shared" si="3"/>
        <v>MTI-P-039</v>
      </c>
      <c r="D77" s="16">
        <v>45002</v>
      </c>
      <c r="E77" s="16"/>
      <c r="F77" s="1" t="s">
        <v>716</v>
      </c>
      <c r="G77" s="1" t="s">
        <v>770</v>
      </c>
      <c r="H77" s="1" t="s">
        <v>36</v>
      </c>
      <c r="I77" s="1">
        <v>24</v>
      </c>
      <c r="J77" s="1">
        <v>61</v>
      </c>
      <c r="K77" s="1">
        <v>37</v>
      </c>
      <c r="L77" s="1" t="s">
        <v>41</v>
      </c>
      <c r="M77" s="1"/>
      <c r="N77" s="1" t="s">
        <v>41</v>
      </c>
      <c r="O77" s="1"/>
      <c r="P77" s="1" t="s">
        <v>41</v>
      </c>
      <c r="Q77" s="1"/>
      <c r="R77" s="1" t="s">
        <v>41</v>
      </c>
      <c r="S77" s="1"/>
      <c r="T77" s="1" t="s">
        <v>41</v>
      </c>
      <c r="U77" s="1"/>
      <c r="V77" s="1" t="s">
        <v>41</v>
      </c>
      <c r="W77" s="1"/>
      <c r="X77" s="1" t="s">
        <v>41</v>
      </c>
      <c r="Y77" s="1"/>
      <c r="Z77" s="1" t="s">
        <v>41</v>
      </c>
      <c r="AA77" s="1"/>
      <c r="AB77" s="1" t="s">
        <v>37</v>
      </c>
      <c r="AC77" s="1" t="s">
        <v>596</v>
      </c>
      <c r="AD77" s="1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</row>
    <row r="78" spans="1:49" ht="14.4" x14ac:dyDescent="0.3">
      <c r="A78" s="1">
        <v>76</v>
      </c>
      <c r="B78" s="1" t="s">
        <v>860</v>
      </c>
      <c r="C78" s="1" t="s">
        <v>861</v>
      </c>
      <c r="D78" s="19">
        <v>44643</v>
      </c>
      <c r="E78" s="19"/>
      <c r="F78" s="1" t="s">
        <v>716</v>
      </c>
      <c r="G78" s="1" t="s">
        <v>472</v>
      </c>
      <c r="H78" s="1" t="s">
        <v>87</v>
      </c>
      <c r="I78" s="1">
        <v>27</v>
      </c>
      <c r="J78" s="1" t="s">
        <v>69</v>
      </c>
      <c r="K78" s="1">
        <v>37</v>
      </c>
      <c r="L78" s="1" t="s">
        <v>38</v>
      </c>
      <c r="M78" s="1" t="s">
        <v>69</v>
      </c>
      <c r="N78" s="1" t="s">
        <v>41</v>
      </c>
      <c r="O78" s="1"/>
      <c r="P78" s="1" t="s">
        <v>41</v>
      </c>
      <c r="Q78" s="1"/>
      <c r="R78" s="1" t="s">
        <v>38</v>
      </c>
      <c r="S78" s="1" t="s">
        <v>69</v>
      </c>
      <c r="T78" s="1"/>
      <c r="U78" s="1" t="s">
        <v>41</v>
      </c>
      <c r="V78" s="1" t="s">
        <v>41</v>
      </c>
      <c r="W78" s="1"/>
      <c r="X78" s="1"/>
      <c r="Y78" s="1"/>
      <c r="Z78" s="1" t="s">
        <v>41</v>
      </c>
      <c r="AA78" s="1"/>
      <c r="AB78" s="1" t="s">
        <v>41</v>
      </c>
      <c r="AC78" s="1"/>
      <c r="AD78" s="1" t="s">
        <v>41</v>
      </c>
      <c r="AE78" s="1"/>
      <c r="AF78" s="1"/>
      <c r="AG78" s="1"/>
      <c r="AH78" s="1" t="s">
        <v>38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4.4" x14ac:dyDescent="0.3">
      <c r="A79" s="1">
        <v>77</v>
      </c>
      <c r="B79" s="1" t="s">
        <v>771</v>
      </c>
      <c r="C79" s="1" t="str">
        <f t="shared" si="3"/>
        <v>TI-PM-59M</v>
      </c>
      <c r="D79" s="19">
        <v>45414</v>
      </c>
      <c r="E79" s="19"/>
      <c r="F79" s="1" t="s">
        <v>772</v>
      </c>
      <c r="G79" s="1" t="s">
        <v>669</v>
      </c>
      <c r="H79" s="1" t="s">
        <v>87</v>
      </c>
      <c r="I79" s="1" t="s">
        <v>69</v>
      </c>
      <c r="J79" s="1">
        <v>60</v>
      </c>
      <c r="K79" s="1">
        <v>37</v>
      </c>
      <c r="L79" s="1" t="s">
        <v>41</v>
      </c>
      <c r="M79" s="1"/>
      <c r="N79" s="1" t="s">
        <v>41</v>
      </c>
      <c r="O79" s="1"/>
      <c r="P79" s="1" t="s">
        <v>41</v>
      </c>
      <c r="Q79" s="1"/>
      <c r="R79" s="1" t="s">
        <v>41</v>
      </c>
      <c r="S79" s="1"/>
      <c r="T79" s="1" t="s">
        <v>41</v>
      </c>
      <c r="U79" s="1"/>
      <c r="V79" s="1" t="s">
        <v>41</v>
      </c>
      <c r="W79" s="1"/>
      <c r="X79" s="1" t="s">
        <v>41</v>
      </c>
      <c r="Y79" s="1"/>
      <c r="Z79" s="1" t="s">
        <v>41</v>
      </c>
      <c r="AA79" s="1"/>
      <c r="AB79" s="1" t="s">
        <v>68</v>
      </c>
      <c r="AC79" s="1"/>
      <c r="AD79" s="1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</row>
    <row r="80" spans="1:49" ht="14.4" x14ac:dyDescent="0.3">
      <c r="A80" s="1">
        <v>78</v>
      </c>
      <c r="B80" s="1" t="s">
        <v>773</v>
      </c>
      <c r="C80" s="1" t="str">
        <f t="shared" si="3"/>
        <v>MTI-P-059</v>
      </c>
      <c r="D80" s="19">
        <v>45355</v>
      </c>
      <c r="E80" s="19"/>
      <c r="F80" s="1" t="s">
        <v>716</v>
      </c>
      <c r="G80" s="1" t="s">
        <v>669</v>
      </c>
      <c r="H80" s="1" t="s">
        <v>36</v>
      </c>
      <c r="I80" s="1">
        <v>25</v>
      </c>
      <c r="J80" s="1">
        <v>60</v>
      </c>
      <c r="K80" s="1">
        <v>37</v>
      </c>
      <c r="L80" s="1" t="s">
        <v>38</v>
      </c>
      <c r="M80" s="1" t="s">
        <v>774</v>
      </c>
      <c r="N80" s="1" t="s">
        <v>41</v>
      </c>
      <c r="O80" s="1"/>
      <c r="P80" s="1" t="s">
        <v>41</v>
      </c>
      <c r="Q80" s="1"/>
      <c r="R80" s="1" t="s">
        <v>41</v>
      </c>
      <c r="S80" s="1"/>
      <c r="T80" s="1" t="s">
        <v>41</v>
      </c>
      <c r="U80" s="1"/>
      <c r="V80" s="1" t="s">
        <v>41</v>
      </c>
      <c r="W80" s="1"/>
      <c r="X80" s="1" t="s">
        <v>41</v>
      </c>
      <c r="Y80" s="1"/>
      <c r="Z80" s="1" t="s">
        <v>41</v>
      </c>
      <c r="AA80" s="1"/>
      <c r="AB80" s="1" t="s">
        <v>68</v>
      </c>
      <c r="AC80" s="1"/>
      <c r="AD80" s="1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</row>
    <row r="81" spans="1:49" ht="14.4" x14ac:dyDescent="0.3">
      <c r="A81" s="32">
        <v>79</v>
      </c>
      <c r="B81" s="32" t="s">
        <v>775</v>
      </c>
      <c r="C81" s="1" t="str">
        <f t="shared" si="3"/>
        <v>MTI-P-058</v>
      </c>
      <c r="D81" s="36">
        <v>45322</v>
      </c>
      <c r="E81" s="36"/>
      <c r="F81" s="32" t="s">
        <v>716</v>
      </c>
      <c r="G81" s="32" t="s">
        <v>700</v>
      </c>
      <c r="H81" s="32" t="s">
        <v>87</v>
      </c>
      <c r="I81" s="32">
        <v>27</v>
      </c>
      <c r="J81" s="32">
        <v>52</v>
      </c>
      <c r="K81" s="32">
        <v>36</v>
      </c>
      <c r="L81" s="32" t="s">
        <v>38</v>
      </c>
      <c r="M81" s="32" t="s">
        <v>51</v>
      </c>
      <c r="N81" s="32" t="s">
        <v>41</v>
      </c>
      <c r="O81" s="32"/>
      <c r="P81" s="32" t="s">
        <v>41</v>
      </c>
      <c r="Q81" s="32"/>
      <c r="R81" s="32" t="s">
        <v>41</v>
      </c>
      <c r="S81" s="32"/>
      <c r="T81" s="32" t="s">
        <v>38</v>
      </c>
      <c r="U81" s="32" t="s">
        <v>53</v>
      </c>
      <c r="V81" s="32" t="s">
        <v>41</v>
      </c>
      <c r="W81" s="32"/>
      <c r="X81" s="32" t="s">
        <v>41</v>
      </c>
      <c r="Y81" s="32"/>
      <c r="Z81" s="32" t="s">
        <v>41</v>
      </c>
      <c r="AA81" s="32"/>
      <c r="AB81" s="32" t="s">
        <v>68</v>
      </c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</row>
    <row r="82" spans="1:49" ht="14.4" x14ac:dyDescent="0.3">
      <c r="A82" s="32">
        <v>80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</row>
    <row r="83" spans="1:49" ht="14.4" x14ac:dyDescent="0.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</row>
    <row r="84" spans="1:49" ht="14.4" x14ac:dyDescent="0.3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</row>
    <row r="85" spans="1:49" ht="14.4" x14ac:dyDescent="0.3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</row>
    <row r="86" spans="1:49" ht="14.4" x14ac:dyDescent="0.3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</row>
    <row r="87" spans="1:49" ht="14.4" x14ac:dyDescent="0.3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</row>
    <row r="88" spans="1:49" ht="14.4" x14ac:dyDescent="0.3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</row>
    <row r="89" spans="1:49" ht="14.4" x14ac:dyDescent="0.3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</row>
    <row r="90" spans="1:49" ht="14.4" x14ac:dyDescent="0.3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</row>
    <row r="91" spans="1:49" ht="14.4" x14ac:dyDescent="0.3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</row>
    <row r="92" spans="1:49" ht="14.4" x14ac:dyDescent="0.3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</row>
    <row r="93" spans="1:49" ht="14.4" x14ac:dyDescent="0.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</row>
    <row r="94" spans="1:49" ht="14.4" x14ac:dyDescent="0.3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</row>
    <row r="95" spans="1:49" ht="14.4" x14ac:dyDescent="0.3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</row>
    <row r="96" spans="1:49" ht="14.4" x14ac:dyDescent="0.3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</row>
    <row r="97" spans="1:49" ht="14.4" x14ac:dyDescent="0.3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</row>
    <row r="98" spans="1:49" ht="14.4" x14ac:dyDescent="0.3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</row>
    <row r="99" spans="1:49" ht="14.4" x14ac:dyDescent="0.3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</row>
    <row r="100" spans="1:49" ht="14.4" x14ac:dyDescent="0.3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</row>
    <row r="101" spans="1:49" ht="14.4" x14ac:dyDescent="0.3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</row>
    <row r="102" spans="1:49" ht="14.4" x14ac:dyDescent="0.3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</row>
    <row r="103" spans="1:49" ht="14.4" x14ac:dyDescent="0.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</row>
    <row r="104" spans="1:49" ht="14.4" x14ac:dyDescent="0.3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</row>
    <row r="105" spans="1:49" ht="14.4" x14ac:dyDescent="0.3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</row>
    <row r="106" spans="1:49" ht="14.4" x14ac:dyDescent="0.3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</row>
    <row r="107" spans="1:49" ht="14.4" x14ac:dyDescent="0.3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</row>
    <row r="108" spans="1:49" ht="14.4" x14ac:dyDescent="0.3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</row>
    <row r="109" spans="1:49" ht="14.4" x14ac:dyDescent="0.3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</row>
    <row r="110" spans="1:49" ht="14.4" x14ac:dyDescent="0.3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</row>
    <row r="111" spans="1:49" ht="14.4" x14ac:dyDescent="0.3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</row>
    <row r="112" spans="1:49" ht="14.4" x14ac:dyDescent="0.3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</row>
    <row r="113" spans="1:49" ht="14.4" x14ac:dyDescent="0.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</row>
    <row r="114" spans="1:49" ht="14.4" x14ac:dyDescent="0.3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</row>
    <row r="115" spans="1:49" ht="14.4" x14ac:dyDescent="0.3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14.4" x14ac:dyDescent="0.3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14.4" x14ac:dyDescent="0.3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14.4" x14ac:dyDescent="0.3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14.4" x14ac:dyDescent="0.3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14.4" x14ac:dyDescent="0.3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14.4" x14ac:dyDescent="0.3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14.4" x14ac:dyDescent="0.3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14.4" x14ac:dyDescent="0.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14.4" x14ac:dyDescent="0.3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14.4" x14ac:dyDescent="0.3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14.4" x14ac:dyDescent="0.3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</row>
    <row r="127" spans="1:49" ht="14.4" x14ac:dyDescent="0.3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</row>
    <row r="128" spans="1:49" ht="14.4" x14ac:dyDescent="0.3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</row>
    <row r="129" spans="1:49" ht="14.4" x14ac:dyDescent="0.3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</row>
    <row r="130" spans="1:49" ht="14.4" x14ac:dyDescent="0.3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</row>
    <row r="131" spans="1:49" ht="14.4" x14ac:dyDescent="0.3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</row>
    <row r="132" spans="1:49" ht="14.4" x14ac:dyDescent="0.3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</row>
    <row r="133" spans="1:49" ht="14.4" x14ac:dyDescent="0.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</row>
    <row r="134" spans="1:49" ht="14.4" x14ac:dyDescent="0.3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</row>
    <row r="135" spans="1:49" ht="14.4" x14ac:dyDescent="0.3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</row>
    <row r="136" spans="1:49" ht="14.4" x14ac:dyDescent="0.3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</row>
    <row r="137" spans="1:49" ht="14.4" x14ac:dyDescent="0.3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</row>
    <row r="138" spans="1:49" ht="14.4" x14ac:dyDescent="0.3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</row>
    <row r="139" spans="1:49" ht="14.4" x14ac:dyDescent="0.3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</row>
    <row r="140" spans="1:49" ht="14.4" x14ac:dyDescent="0.3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</row>
    <row r="141" spans="1:49" ht="14.4" x14ac:dyDescent="0.3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</row>
    <row r="142" spans="1:49" ht="14.4" x14ac:dyDescent="0.3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</row>
    <row r="143" spans="1:49" ht="14.4" x14ac:dyDescent="0.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</row>
    <row r="144" spans="1:49" ht="14.4" x14ac:dyDescent="0.3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</row>
    <row r="145" spans="1:49" ht="14.4" x14ac:dyDescent="0.3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</row>
    <row r="146" spans="1:49" ht="14.4" x14ac:dyDescent="0.3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</row>
    <row r="147" spans="1:49" ht="14.4" x14ac:dyDescent="0.3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</row>
    <row r="148" spans="1:49" ht="14.4" x14ac:dyDescent="0.3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</row>
    <row r="149" spans="1:49" ht="14.4" x14ac:dyDescent="0.3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</row>
    <row r="150" spans="1:49" ht="14.4" x14ac:dyDescent="0.3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</row>
    <row r="151" spans="1:49" ht="14.4" x14ac:dyDescent="0.3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</row>
    <row r="152" spans="1:49" ht="14.4" x14ac:dyDescent="0.3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</row>
    <row r="153" spans="1:49" ht="14.4" x14ac:dyDescent="0.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</row>
    <row r="154" spans="1:49" ht="14.4" x14ac:dyDescent="0.3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</row>
    <row r="155" spans="1:49" ht="14.4" x14ac:dyDescent="0.3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</row>
    <row r="156" spans="1:49" ht="14.4" x14ac:dyDescent="0.3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</row>
    <row r="157" spans="1:49" ht="14.4" x14ac:dyDescent="0.3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</row>
    <row r="158" spans="1:49" ht="14.4" x14ac:dyDescent="0.3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</row>
    <row r="159" spans="1:49" ht="14.4" x14ac:dyDescent="0.3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</row>
    <row r="160" spans="1:49" ht="14.4" x14ac:dyDescent="0.3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</row>
    <row r="161" spans="1:49" ht="14.4" x14ac:dyDescent="0.3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</row>
    <row r="162" spans="1:49" ht="14.4" x14ac:dyDescent="0.3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</row>
    <row r="163" spans="1:49" ht="14.4" x14ac:dyDescent="0.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</row>
    <row r="164" spans="1:49" ht="14.4" x14ac:dyDescent="0.3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</row>
    <row r="165" spans="1:49" ht="14.4" x14ac:dyDescent="0.3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</row>
    <row r="166" spans="1:49" ht="14.4" x14ac:dyDescent="0.3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</row>
    <row r="167" spans="1:49" ht="14.4" x14ac:dyDescent="0.3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</row>
    <row r="168" spans="1:49" ht="14.4" x14ac:dyDescent="0.3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</row>
    <row r="169" spans="1:49" ht="14.4" x14ac:dyDescent="0.3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</row>
    <row r="170" spans="1:49" ht="14.4" x14ac:dyDescent="0.3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</row>
    <row r="171" spans="1:49" ht="14.4" x14ac:dyDescent="0.3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</row>
    <row r="172" spans="1:49" ht="14.4" x14ac:dyDescent="0.3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</row>
    <row r="173" spans="1:49" ht="14.4" x14ac:dyDescent="0.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</row>
    <row r="174" spans="1:49" ht="14.4" x14ac:dyDescent="0.3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</row>
    <row r="175" spans="1:49" ht="14.4" x14ac:dyDescent="0.3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</row>
    <row r="176" spans="1:49" ht="14.4" x14ac:dyDescent="0.3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</row>
    <row r="177" spans="1:49" ht="14.4" x14ac:dyDescent="0.3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</row>
    <row r="178" spans="1:49" ht="14.4" x14ac:dyDescent="0.3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</row>
    <row r="179" spans="1:49" ht="14.4" x14ac:dyDescent="0.3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</row>
    <row r="180" spans="1:49" ht="14.4" x14ac:dyDescent="0.3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</row>
    <row r="181" spans="1:49" ht="14.4" x14ac:dyDescent="0.3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</row>
    <row r="182" spans="1:49" ht="14.4" x14ac:dyDescent="0.3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</row>
    <row r="183" spans="1:49" ht="14.4" x14ac:dyDescent="0.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</row>
    <row r="184" spans="1:49" ht="14.4" x14ac:dyDescent="0.3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</row>
    <row r="185" spans="1:49" ht="14.4" x14ac:dyDescent="0.3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</row>
    <row r="186" spans="1:49" ht="14.4" x14ac:dyDescent="0.3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</row>
    <row r="187" spans="1:49" ht="14.4" x14ac:dyDescent="0.3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</row>
    <row r="188" spans="1:49" ht="14.4" x14ac:dyDescent="0.3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</row>
    <row r="189" spans="1:49" ht="14.4" x14ac:dyDescent="0.3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</row>
    <row r="190" spans="1:49" ht="14.4" x14ac:dyDescent="0.3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</row>
    <row r="191" spans="1:49" ht="14.4" x14ac:dyDescent="0.3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</row>
    <row r="192" spans="1:49" ht="14.4" x14ac:dyDescent="0.3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</row>
    <row r="193" spans="1:49" ht="14.4" x14ac:dyDescent="0.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</row>
    <row r="194" spans="1:49" ht="14.4" x14ac:dyDescent="0.3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</row>
    <row r="195" spans="1:49" ht="14.4" x14ac:dyDescent="0.3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</row>
    <row r="196" spans="1:49" ht="14.4" x14ac:dyDescent="0.3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</row>
    <row r="197" spans="1:49" ht="14.4" x14ac:dyDescent="0.3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</row>
    <row r="198" spans="1:49" ht="14.4" x14ac:dyDescent="0.3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</row>
    <row r="199" spans="1:49" ht="14.4" x14ac:dyDescent="0.3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</row>
    <row r="200" spans="1:49" ht="14.4" x14ac:dyDescent="0.3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</row>
    <row r="201" spans="1:49" ht="14.4" x14ac:dyDescent="0.3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</row>
    <row r="202" spans="1:49" ht="14.4" x14ac:dyDescent="0.3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</row>
    <row r="203" spans="1:49" ht="14.4" x14ac:dyDescent="0.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</row>
    <row r="204" spans="1:49" ht="14.4" x14ac:dyDescent="0.3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</row>
    <row r="205" spans="1:49" ht="14.4" x14ac:dyDescent="0.3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</row>
    <row r="206" spans="1:49" ht="14.4" x14ac:dyDescent="0.3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</row>
    <row r="207" spans="1:49" ht="14.4" x14ac:dyDescent="0.3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</row>
    <row r="208" spans="1:49" ht="14.4" x14ac:dyDescent="0.3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</row>
    <row r="209" spans="1:49" ht="14.4" x14ac:dyDescent="0.3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</row>
    <row r="210" spans="1:49" ht="14.4" x14ac:dyDescent="0.3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</row>
    <row r="211" spans="1:49" ht="14.4" x14ac:dyDescent="0.3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</row>
    <row r="212" spans="1:49" ht="14.4" x14ac:dyDescent="0.3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</row>
    <row r="213" spans="1:49" ht="14.4" x14ac:dyDescent="0.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</row>
    <row r="214" spans="1:49" ht="14.4" x14ac:dyDescent="0.3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</row>
    <row r="215" spans="1:49" ht="14.4" x14ac:dyDescent="0.3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</row>
    <row r="216" spans="1:49" ht="14.4" x14ac:dyDescent="0.3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</row>
    <row r="217" spans="1:49" ht="14.4" x14ac:dyDescent="0.3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</row>
    <row r="218" spans="1:49" ht="14.4" x14ac:dyDescent="0.3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</row>
    <row r="219" spans="1:49" ht="14.4" x14ac:dyDescent="0.3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</row>
    <row r="220" spans="1:49" ht="14.4" x14ac:dyDescent="0.3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</row>
    <row r="221" spans="1:49" ht="14.4" x14ac:dyDescent="0.3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</row>
    <row r="222" spans="1:49" ht="14.4" x14ac:dyDescent="0.3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</row>
    <row r="223" spans="1:49" ht="14.4" x14ac:dyDescent="0.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</row>
    <row r="224" spans="1:49" ht="14.4" x14ac:dyDescent="0.3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</row>
    <row r="225" spans="1:49" ht="14.4" x14ac:dyDescent="0.3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</row>
    <row r="226" spans="1:49" ht="14.4" x14ac:dyDescent="0.3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</row>
    <row r="227" spans="1:49" ht="14.4" x14ac:dyDescent="0.3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</row>
    <row r="228" spans="1:49" ht="14.4" x14ac:dyDescent="0.3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</row>
    <row r="229" spans="1:49" ht="14.4" x14ac:dyDescent="0.3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</row>
    <row r="230" spans="1:49" ht="14.4" x14ac:dyDescent="0.3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</row>
    <row r="231" spans="1:49" ht="14.4" x14ac:dyDescent="0.3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</row>
    <row r="232" spans="1:49" ht="14.4" x14ac:dyDescent="0.3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</row>
    <row r="233" spans="1:49" ht="14.4" x14ac:dyDescent="0.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</row>
    <row r="234" spans="1:49" ht="14.4" x14ac:dyDescent="0.3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</row>
    <row r="235" spans="1:49" ht="14.4" x14ac:dyDescent="0.3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</row>
    <row r="236" spans="1:49" ht="14.4" x14ac:dyDescent="0.3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</row>
    <row r="237" spans="1:49" ht="14.4" x14ac:dyDescent="0.3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</row>
    <row r="238" spans="1:49" ht="14.4" x14ac:dyDescent="0.3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</row>
    <row r="239" spans="1:49" ht="14.4" x14ac:dyDescent="0.3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</row>
    <row r="240" spans="1:49" ht="14.4" x14ac:dyDescent="0.3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</row>
    <row r="241" spans="1:49" ht="14.4" x14ac:dyDescent="0.3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</row>
    <row r="242" spans="1:49" ht="14.4" x14ac:dyDescent="0.3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</row>
    <row r="243" spans="1:49" ht="14.4" x14ac:dyDescent="0.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</row>
    <row r="244" spans="1:49" ht="14.4" x14ac:dyDescent="0.3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</row>
    <row r="245" spans="1:49" ht="14.4" x14ac:dyDescent="0.3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</row>
    <row r="246" spans="1:49" ht="14.4" x14ac:dyDescent="0.3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</row>
    <row r="247" spans="1:49" ht="14.4" x14ac:dyDescent="0.3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</row>
    <row r="248" spans="1:49" ht="14.4" x14ac:dyDescent="0.3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</row>
    <row r="249" spans="1:49" ht="14.4" x14ac:dyDescent="0.3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</row>
    <row r="250" spans="1:49" ht="14.4" x14ac:dyDescent="0.3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</row>
    <row r="251" spans="1:49" ht="14.4" x14ac:dyDescent="0.3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</row>
    <row r="252" spans="1:49" ht="14.4" x14ac:dyDescent="0.3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</row>
    <row r="253" spans="1:49" ht="14.4" x14ac:dyDescent="0.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</row>
    <row r="254" spans="1:49" ht="14.4" x14ac:dyDescent="0.3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</row>
    <row r="255" spans="1:49" ht="14.4" x14ac:dyDescent="0.3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</row>
    <row r="256" spans="1:49" ht="14.4" x14ac:dyDescent="0.3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</row>
    <row r="257" spans="1:49" ht="14.4" x14ac:dyDescent="0.3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</row>
    <row r="258" spans="1:49" ht="14.4" x14ac:dyDescent="0.3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</row>
    <row r="259" spans="1:49" ht="14.4" x14ac:dyDescent="0.3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</row>
    <row r="260" spans="1:49" ht="14.4" x14ac:dyDescent="0.3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</row>
    <row r="261" spans="1:49" ht="14.4" x14ac:dyDescent="0.3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</row>
    <row r="262" spans="1:49" ht="14.4" x14ac:dyDescent="0.3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</row>
    <row r="263" spans="1:49" ht="14.4" x14ac:dyDescent="0.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</row>
    <row r="264" spans="1:49" ht="14.4" x14ac:dyDescent="0.3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</row>
    <row r="265" spans="1:49" ht="14.4" x14ac:dyDescent="0.3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</row>
    <row r="266" spans="1:49" ht="14.4" x14ac:dyDescent="0.3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</row>
    <row r="267" spans="1:49" ht="14.4" x14ac:dyDescent="0.3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</row>
    <row r="268" spans="1:49" ht="14.4" x14ac:dyDescent="0.3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</row>
    <row r="269" spans="1:49" ht="14.4" x14ac:dyDescent="0.3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</row>
    <row r="270" spans="1:49" ht="14.4" x14ac:dyDescent="0.3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</row>
    <row r="271" spans="1:49" ht="14.4" x14ac:dyDescent="0.3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</row>
    <row r="272" spans="1:49" ht="14.4" x14ac:dyDescent="0.3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</row>
    <row r="273" spans="1:49" ht="14.4" x14ac:dyDescent="0.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</row>
    <row r="274" spans="1:49" ht="14.4" x14ac:dyDescent="0.3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</row>
    <row r="275" spans="1:49" ht="14.4" x14ac:dyDescent="0.3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</row>
    <row r="276" spans="1:49" ht="14.4" x14ac:dyDescent="0.3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</row>
    <row r="277" spans="1:49" ht="14.4" x14ac:dyDescent="0.3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</row>
    <row r="278" spans="1:49" ht="14.4" x14ac:dyDescent="0.3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</row>
    <row r="279" spans="1:49" ht="14.4" x14ac:dyDescent="0.3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</row>
    <row r="280" spans="1:49" ht="14.4" x14ac:dyDescent="0.3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</row>
    <row r="281" spans="1:49" ht="14.4" x14ac:dyDescent="0.3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</row>
    <row r="282" spans="1:49" ht="14.4" x14ac:dyDescent="0.3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</row>
    <row r="283" spans="1:49" ht="14.4" x14ac:dyDescent="0.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</row>
    <row r="284" spans="1:49" ht="14.4" x14ac:dyDescent="0.3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</row>
    <row r="285" spans="1:49" ht="14.4" x14ac:dyDescent="0.3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</row>
    <row r="286" spans="1:49" ht="14.4" x14ac:dyDescent="0.3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</row>
    <row r="287" spans="1:49" ht="14.4" x14ac:dyDescent="0.3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</row>
    <row r="288" spans="1:49" ht="14.4" x14ac:dyDescent="0.3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</row>
    <row r="289" spans="1:49" ht="14.4" x14ac:dyDescent="0.3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</row>
    <row r="290" spans="1:49" ht="14.4" x14ac:dyDescent="0.3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</row>
    <row r="291" spans="1:49" ht="14.4" x14ac:dyDescent="0.3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</row>
    <row r="292" spans="1:49" ht="14.4" x14ac:dyDescent="0.3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</row>
    <row r="293" spans="1:49" ht="14.4" x14ac:dyDescent="0.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</row>
    <row r="294" spans="1:49" ht="14.4" x14ac:dyDescent="0.3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</row>
    <row r="295" spans="1:49" ht="14.4" x14ac:dyDescent="0.3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</row>
    <row r="296" spans="1:49" ht="14.4" x14ac:dyDescent="0.3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</row>
    <row r="297" spans="1:49" ht="14.4" x14ac:dyDescent="0.3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</row>
    <row r="298" spans="1:49" ht="14.4" x14ac:dyDescent="0.3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</row>
    <row r="299" spans="1:49" ht="14.4" x14ac:dyDescent="0.3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</row>
    <row r="300" spans="1:49" ht="14.4" x14ac:dyDescent="0.3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</row>
    <row r="301" spans="1:49" ht="14.4" x14ac:dyDescent="0.3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</row>
    <row r="302" spans="1:49" ht="14.4" x14ac:dyDescent="0.3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</row>
    <row r="303" spans="1:49" ht="14.4" x14ac:dyDescent="0.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</row>
    <row r="304" spans="1:49" ht="14.4" x14ac:dyDescent="0.3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</row>
    <row r="305" spans="1:49" ht="14.4" x14ac:dyDescent="0.3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</row>
    <row r="306" spans="1:49" ht="14.4" x14ac:dyDescent="0.3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</row>
    <row r="307" spans="1:49" ht="14.4" x14ac:dyDescent="0.3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</row>
    <row r="308" spans="1:49" ht="14.4" x14ac:dyDescent="0.3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</row>
    <row r="309" spans="1:49" ht="14.4" x14ac:dyDescent="0.3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</row>
    <row r="310" spans="1:49" ht="14.4" x14ac:dyDescent="0.3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</row>
    <row r="311" spans="1:49" ht="14.4" x14ac:dyDescent="0.3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</row>
    <row r="312" spans="1:49" ht="14.4" x14ac:dyDescent="0.3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</row>
    <row r="313" spans="1:49" ht="14.4" x14ac:dyDescent="0.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</row>
    <row r="314" spans="1:49" ht="14.4" x14ac:dyDescent="0.3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</row>
    <row r="315" spans="1:49" ht="14.4" x14ac:dyDescent="0.3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</row>
    <row r="316" spans="1:49" ht="14.4" x14ac:dyDescent="0.3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</row>
    <row r="317" spans="1:49" ht="14.4" x14ac:dyDescent="0.3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</row>
    <row r="318" spans="1:49" ht="14.4" x14ac:dyDescent="0.3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</row>
    <row r="319" spans="1:49" ht="14.4" x14ac:dyDescent="0.3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</row>
    <row r="320" spans="1:49" ht="14.4" x14ac:dyDescent="0.3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</row>
    <row r="321" spans="1:49" ht="14.4" x14ac:dyDescent="0.3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</row>
    <row r="322" spans="1:49" ht="14.4" x14ac:dyDescent="0.3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</row>
    <row r="323" spans="1:49" ht="14.4" x14ac:dyDescent="0.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</row>
    <row r="324" spans="1:49" ht="14.4" x14ac:dyDescent="0.3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</row>
    <row r="325" spans="1:49" ht="14.4" x14ac:dyDescent="0.3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</row>
    <row r="326" spans="1:49" ht="14.4" x14ac:dyDescent="0.3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</row>
    <row r="327" spans="1:49" ht="14.4" x14ac:dyDescent="0.3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</row>
    <row r="328" spans="1:49" ht="14.4" x14ac:dyDescent="0.3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</row>
    <row r="329" spans="1:49" ht="14.4" x14ac:dyDescent="0.3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</row>
    <row r="330" spans="1:49" ht="14.4" x14ac:dyDescent="0.3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</row>
    <row r="331" spans="1:49" ht="14.4" x14ac:dyDescent="0.3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</row>
    <row r="332" spans="1:49" ht="14.4" x14ac:dyDescent="0.3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</row>
    <row r="333" spans="1:49" ht="14.4" x14ac:dyDescent="0.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</row>
    <row r="334" spans="1:49" ht="14.4" x14ac:dyDescent="0.3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</row>
    <row r="335" spans="1:49" ht="14.4" x14ac:dyDescent="0.3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</row>
    <row r="336" spans="1:49" ht="14.4" x14ac:dyDescent="0.3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</row>
    <row r="337" spans="1:49" ht="14.4" x14ac:dyDescent="0.3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</row>
    <row r="338" spans="1:49" ht="14.4" x14ac:dyDescent="0.3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</row>
    <row r="339" spans="1:49" ht="14.4" x14ac:dyDescent="0.3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</row>
    <row r="340" spans="1:49" ht="14.4" x14ac:dyDescent="0.3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</row>
    <row r="341" spans="1:49" ht="14.4" x14ac:dyDescent="0.3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</row>
    <row r="342" spans="1:49" ht="14.4" x14ac:dyDescent="0.3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</row>
    <row r="343" spans="1:49" ht="14.4" x14ac:dyDescent="0.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</row>
    <row r="344" spans="1:49" ht="14.4" x14ac:dyDescent="0.3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</row>
    <row r="345" spans="1:49" ht="14.4" x14ac:dyDescent="0.3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</row>
    <row r="346" spans="1:49" ht="14.4" x14ac:dyDescent="0.3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</row>
    <row r="347" spans="1:49" ht="14.4" x14ac:dyDescent="0.3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</row>
    <row r="348" spans="1:49" ht="14.4" x14ac:dyDescent="0.3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</row>
    <row r="349" spans="1:49" ht="14.4" x14ac:dyDescent="0.3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</row>
    <row r="350" spans="1:49" ht="14.4" x14ac:dyDescent="0.3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</row>
    <row r="351" spans="1:49" ht="14.4" x14ac:dyDescent="0.3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</row>
    <row r="352" spans="1:49" ht="14.4" x14ac:dyDescent="0.3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</row>
    <row r="353" spans="1:49" ht="14.4" x14ac:dyDescent="0.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</row>
    <row r="354" spans="1:49" ht="14.4" x14ac:dyDescent="0.3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</row>
    <row r="355" spans="1:49" ht="14.4" x14ac:dyDescent="0.3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</row>
    <row r="356" spans="1:49" ht="14.4" x14ac:dyDescent="0.3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</row>
    <row r="357" spans="1:49" ht="14.4" x14ac:dyDescent="0.3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</row>
    <row r="358" spans="1:49" ht="14.4" x14ac:dyDescent="0.3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</row>
    <row r="359" spans="1:49" ht="14.4" x14ac:dyDescent="0.3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</row>
    <row r="360" spans="1:49" ht="14.4" x14ac:dyDescent="0.3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</row>
    <row r="361" spans="1:49" ht="14.4" x14ac:dyDescent="0.3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</row>
    <row r="362" spans="1:49" ht="14.4" x14ac:dyDescent="0.3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</row>
    <row r="363" spans="1:49" ht="14.4" x14ac:dyDescent="0.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</row>
    <row r="364" spans="1:49" ht="14.4" x14ac:dyDescent="0.3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</row>
    <row r="365" spans="1:49" ht="14.4" x14ac:dyDescent="0.3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</row>
    <row r="366" spans="1:49" ht="14.4" x14ac:dyDescent="0.3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</row>
    <row r="367" spans="1:49" ht="14.4" x14ac:dyDescent="0.3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</row>
    <row r="368" spans="1:49" ht="14.4" x14ac:dyDescent="0.3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</row>
    <row r="369" spans="1:49" ht="14.4" x14ac:dyDescent="0.3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</row>
    <row r="370" spans="1:49" ht="14.4" x14ac:dyDescent="0.3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</row>
    <row r="371" spans="1:49" ht="14.4" x14ac:dyDescent="0.3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</row>
    <row r="372" spans="1:49" ht="14.4" x14ac:dyDescent="0.3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</row>
    <row r="373" spans="1:49" ht="14.4" x14ac:dyDescent="0.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</row>
    <row r="374" spans="1:49" ht="14.4" x14ac:dyDescent="0.3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</row>
    <row r="375" spans="1:49" ht="14.4" x14ac:dyDescent="0.3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</row>
    <row r="376" spans="1:49" ht="14.4" x14ac:dyDescent="0.3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</row>
    <row r="377" spans="1:49" ht="14.4" x14ac:dyDescent="0.3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</row>
    <row r="378" spans="1:49" ht="14.4" x14ac:dyDescent="0.3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</row>
    <row r="379" spans="1:49" ht="14.4" x14ac:dyDescent="0.3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</row>
    <row r="380" spans="1:49" ht="14.4" x14ac:dyDescent="0.3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</row>
    <row r="381" spans="1:49" ht="14.4" x14ac:dyDescent="0.3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</row>
    <row r="382" spans="1:49" ht="14.4" x14ac:dyDescent="0.3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</row>
    <row r="383" spans="1:49" ht="14.4" x14ac:dyDescent="0.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</row>
    <row r="384" spans="1:49" ht="14.4" x14ac:dyDescent="0.3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</row>
    <row r="385" spans="1:49" ht="14.4" x14ac:dyDescent="0.3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</row>
    <row r="386" spans="1:49" ht="14.4" x14ac:dyDescent="0.3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</row>
    <row r="387" spans="1:49" ht="14.4" x14ac:dyDescent="0.3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</row>
    <row r="388" spans="1:49" ht="14.4" x14ac:dyDescent="0.3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</row>
    <row r="389" spans="1:49" ht="14.4" x14ac:dyDescent="0.3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</row>
    <row r="390" spans="1:49" ht="14.4" x14ac:dyDescent="0.3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</row>
    <row r="391" spans="1:49" ht="14.4" x14ac:dyDescent="0.3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</row>
    <row r="392" spans="1:49" ht="14.4" x14ac:dyDescent="0.3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</row>
    <row r="393" spans="1:49" ht="14.4" x14ac:dyDescent="0.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</row>
    <row r="394" spans="1:49" ht="14.4" x14ac:dyDescent="0.3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</row>
    <row r="395" spans="1:49" ht="14.4" x14ac:dyDescent="0.3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</row>
    <row r="396" spans="1:49" ht="14.4" x14ac:dyDescent="0.3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</row>
    <row r="397" spans="1:49" ht="14.4" x14ac:dyDescent="0.3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</row>
    <row r="398" spans="1:49" ht="14.4" x14ac:dyDescent="0.3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</row>
    <row r="399" spans="1:49" ht="14.4" x14ac:dyDescent="0.3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</row>
    <row r="400" spans="1:49" ht="14.4" x14ac:dyDescent="0.3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</row>
    <row r="401" spans="1:49" ht="14.4" x14ac:dyDescent="0.3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</row>
    <row r="402" spans="1:49" ht="14.4" x14ac:dyDescent="0.3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</row>
    <row r="403" spans="1:49" ht="14.4" x14ac:dyDescent="0.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</row>
    <row r="404" spans="1:49" ht="14.4" x14ac:dyDescent="0.3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</row>
    <row r="405" spans="1:49" ht="14.4" x14ac:dyDescent="0.3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</row>
    <row r="406" spans="1:49" ht="14.4" x14ac:dyDescent="0.3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</row>
    <row r="407" spans="1:49" ht="14.4" x14ac:dyDescent="0.3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</row>
    <row r="408" spans="1:49" ht="14.4" x14ac:dyDescent="0.3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</row>
    <row r="409" spans="1:49" ht="14.4" x14ac:dyDescent="0.3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</row>
    <row r="410" spans="1:49" ht="14.4" x14ac:dyDescent="0.3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</row>
    <row r="411" spans="1:49" ht="14.4" x14ac:dyDescent="0.3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</row>
    <row r="412" spans="1:49" ht="14.4" x14ac:dyDescent="0.3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</row>
    <row r="413" spans="1:49" ht="14.4" x14ac:dyDescent="0.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</row>
    <row r="414" spans="1:49" ht="14.4" x14ac:dyDescent="0.3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</row>
    <row r="415" spans="1:49" ht="14.4" x14ac:dyDescent="0.3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</row>
    <row r="416" spans="1:49" ht="14.4" x14ac:dyDescent="0.3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</row>
    <row r="417" spans="1:49" ht="14.4" x14ac:dyDescent="0.3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</row>
    <row r="418" spans="1:49" ht="14.4" x14ac:dyDescent="0.3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</row>
    <row r="419" spans="1:49" ht="14.4" x14ac:dyDescent="0.3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</row>
    <row r="420" spans="1:49" ht="14.4" x14ac:dyDescent="0.3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</row>
    <row r="421" spans="1:49" ht="14.4" x14ac:dyDescent="0.3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</row>
    <row r="422" spans="1:49" ht="14.4" x14ac:dyDescent="0.3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</row>
    <row r="423" spans="1:49" ht="14.4" x14ac:dyDescent="0.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</row>
    <row r="424" spans="1:49" ht="14.4" x14ac:dyDescent="0.3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</row>
    <row r="425" spans="1:49" ht="14.4" x14ac:dyDescent="0.3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</row>
    <row r="426" spans="1:49" ht="14.4" x14ac:dyDescent="0.3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</row>
    <row r="427" spans="1:49" ht="14.4" x14ac:dyDescent="0.3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</row>
    <row r="428" spans="1:49" ht="14.4" x14ac:dyDescent="0.3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</row>
    <row r="429" spans="1:49" ht="14.4" x14ac:dyDescent="0.3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</row>
    <row r="430" spans="1:49" ht="14.4" x14ac:dyDescent="0.3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</row>
    <row r="431" spans="1:49" ht="14.4" x14ac:dyDescent="0.3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</row>
    <row r="432" spans="1:49" ht="14.4" x14ac:dyDescent="0.3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</row>
    <row r="433" spans="1:49" ht="14.4" x14ac:dyDescent="0.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</row>
    <row r="434" spans="1:49" ht="14.4" x14ac:dyDescent="0.3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</row>
    <row r="435" spans="1:49" ht="14.4" x14ac:dyDescent="0.3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</row>
    <row r="436" spans="1:49" ht="14.4" x14ac:dyDescent="0.3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</row>
    <row r="437" spans="1:49" ht="14.4" x14ac:dyDescent="0.3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</row>
    <row r="438" spans="1:49" ht="14.4" x14ac:dyDescent="0.3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</row>
    <row r="439" spans="1:49" ht="14.4" x14ac:dyDescent="0.3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</row>
    <row r="440" spans="1:49" ht="14.4" x14ac:dyDescent="0.3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</row>
    <row r="441" spans="1:49" ht="14.4" x14ac:dyDescent="0.3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</row>
    <row r="442" spans="1:49" ht="14.4" x14ac:dyDescent="0.3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</row>
    <row r="443" spans="1:49" ht="14.4" x14ac:dyDescent="0.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</row>
    <row r="444" spans="1:49" ht="14.4" x14ac:dyDescent="0.3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</row>
    <row r="445" spans="1:49" ht="14.4" x14ac:dyDescent="0.3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</row>
    <row r="446" spans="1:49" ht="14.4" x14ac:dyDescent="0.3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</row>
    <row r="447" spans="1:49" ht="14.4" x14ac:dyDescent="0.3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</row>
    <row r="448" spans="1:49" ht="14.4" x14ac:dyDescent="0.3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</row>
    <row r="449" spans="1:49" ht="14.4" x14ac:dyDescent="0.3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</row>
    <row r="450" spans="1:49" ht="14.4" x14ac:dyDescent="0.3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</row>
    <row r="451" spans="1:49" ht="14.4" x14ac:dyDescent="0.3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</row>
    <row r="452" spans="1:49" ht="14.4" x14ac:dyDescent="0.3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</row>
    <row r="453" spans="1:49" ht="14.4" x14ac:dyDescent="0.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</row>
    <row r="454" spans="1:49" ht="14.4" x14ac:dyDescent="0.3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</row>
    <row r="455" spans="1:49" ht="14.4" x14ac:dyDescent="0.3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</row>
    <row r="456" spans="1:49" ht="14.4" x14ac:dyDescent="0.3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</row>
    <row r="457" spans="1:49" ht="14.4" x14ac:dyDescent="0.3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</row>
    <row r="458" spans="1:49" ht="14.4" x14ac:dyDescent="0.3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</row>
    <row r="459" spans="1:49" ht="14.4" x14ac:dyDescent="0.3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</row>
    <row r="460" spans="1:49" ht="14.4" x14ac:dyDescent="0.3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</row>
    <row r="461" spans="1:49" ht="14.4" x14ac:dyDescent="0.3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</row>
    <row r="462" spans="1:49" ht="14.4" x14ac:dyDescent="0.3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</row>
    <row r="463" spans="1:49" ht="14.4" x14ac:dyDescent="0.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</row>
    <row r="464" spans="1:49" ht="14.4" x14ac:dyDescent="0.3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</row>
    <row r="465" spans="1:49" ht="14.4" x14ac:dyDescent="0.3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</row>
    <row r="466" spans="1:49" ht="14.4" x14ac:dyDescent="0.3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</row>
    <row r="467" spans="1:49" ht="14.4" x14ac:dyDescent="0.3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</row>
    <row r="468" spans="1:49" ht="14.4" x14ac:dyDescent="0.3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</row>
    <row r="469" spans="1:49" ht="14.4" x14ac:dyDescent="0.3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</row>
    <row r="470" spans="1:49" ht="14.4" x14ac:dyDescent="0.3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</row>
    <row r="471" spans="1:49" ht="14.4" x14ac:dyDescent="0.3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</row>
    <row r="472" spans="1:49" ht="14.4" x14ac:dyDescent="0.3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</row>
    <row r="473" spans="1:49" ht="14.4" x14ac:dyDescent="0.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</row>
    <row r="474" spans="1:49" ht="14.4" x14ac:dyDescent="0.3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</row>
    <row r="475" spans="1:49" ht="14.4" x14ac:dyDescent="0.3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</row>
    <row r="476" spans="1:49" ht="14.4" x14ac:dyDescent="0.3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</row>
    <row r="477" spans="1:49" ht="14.4" x14ac:dyDescent="0.3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</row>
    <row r="478" spans="1:49" ht="14.4" x14ac:dyDescent="0.3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</row>
    <row r="479" spans="1:49" ht="14.4" x14ac:dyDescent="0.3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</row>
    <row r="480" spans="1:49" ht="14.4" x14ac:dyDescent="0.3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</row>
    <row r="481" spans="1:49" ht="14.4" x14ac:dyDescent="0.3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</row>
    <row r="482" spans="1:49" ht="14.4" x14ac:dyDescent="0.3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</row>
    <row r="483" spans="1:49" ht="14.4" x14ac:dyDescent="0.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</row>
    <row r="484" spans="1:49" ht="14.4" x14ac:dyDescent="0.3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</row>
    <row r="485" spans="1:49" ht="14.4" x14ac:dyDescent="0.3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</row>
    <row r="486" spans="1:49" ht="14.4" x14ac:dyDescent="0.3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</row>
    <row r="487" spans="1:49" ht="14.4" x14ac:dyDescent="0.3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</row>
    <row r="488" spans="1:49" ht="14.4" x14ac:dyDescent="0.3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</row>
    <row r="489" spans="1:49" ht="14.4" x14ac:dyDescent="0.3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</row>
    <row r="490" spans="1:49" ht="14.4" x14ac:dyDescent="0.3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</row>
    <row r="491" spans="1:49" ht="14.4" x14ac:dyDescent="0.3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</row>
    <row r="492" spans="1:49" ht="14.4" x14ac:dyDescent="0.3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</row>
    <row r="493" spans="1:49" ht="14.4" x14ac:dyDescent="0.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</row>
    <row r="494" spans="1:49" ht="14.4" x14ac:dyDescent="0.3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</row>
    <row r="495" spans="1:49" ht="14.4" x14ac:dyDescent="0.3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</row>
    <row r="496" spans="1:49" ht="14.4" x14ac:dyDescent="0.3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</row>
    <row r="497" spans="1:49" ht="14.4" x14ac:dyDescent="0.3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</row>
    <row r="498" spans="1:49" ht="14.4" x14ac:dyDescent="0.3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</row>
    <row r="499" spans="1:49" ht="14.4" x14ac:dyDescent="0.3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</row>
    <row r="500" spans="1:49" ht="14.4" x14ac:dyDescent="0.3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</row>
    <row r="501" spans="1:49" ht="14.4" x14ac:dyDescent="0.3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</row>
    <row r="502" spans="1:49" ht="14.4" x14ac:dyDescent="0.3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</row>
    <row r="503" spans="1:49" ht="14.4" x14ac:dyDescent="0.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</row>
    <row r="504" spans="1:49" ht="14.4" x14ac:dyDescent="0.3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</row>
    <row r="505" spans="1:49" ht="14.4" x14ac:dyDescent="0.3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</row>
    <row r="506" spans="1:49" ht="14.4" x14ac:dyDescent="0.3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</row>
    <row r="507" spans="1:49" ht="14.4" x14ac:dyDescent="0.3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</row>
    <row r="508" spans="1:49" ht="14.4" x14ac:dyDescent="0.3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</row>
    <row r="509" spans="1:49" ht="14.4" x14ac:dyDescent="0.3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</row>
    <row r="510" spans="1:49" ht="14.4" x14ac:dyDescent="0.3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</row>
    <row r="511" spans="1:49" ht="14.4" x14ac:dyDescent="0.3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</row>
    <row r="512" spans="1:49" ht="14.4" x14ac:dyDescent="0.3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</row>
    <row r="513" spans="1:49" ht="14.4" x14ac:dyDescent="0.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</row>
    <row r="514" spans="1:49" ht="14.4" x14ac:dyDescent="0.3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</row>
    <row r="515" spans="1:49" ht="14.4" x14ac:dyDescent="0.3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</row>
    <row r="516" spans="1:49" ht="14.4" x14ac:dyDescent="0.3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</row>
    <row r="517" spans="1:49" ht="14.4" x14ac:dyDescent="0.3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</row>
    <row r="518" spans="1:49" ht="14.4" x14ac:dyDescent="0.3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</row>
    <row r="519" spans="1:49" ht="14.4" x14ac:dyDescent="0.3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</row>
    <row r="520" spans="1:49" ht="14.4" x14ac:dyDescent="0.3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</row>
    <row r="521" spans="1:49" ht="14.4" x14ac:dyDescent="0.3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</row>
    <row r="522" spans="1:49" ht="14.4" x14ac:dyDescent="0.3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</row>
    <row r="523" spans="1:49" ht="14.4" x14ac:dyDescent="0.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</row>
    <row r="524" spans="1:49" ht="14.4" x14ac:dyDescent="0.3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</row>
    <row r="525" spans="1:49" ht="14.4" x14ac:dyDescent="0.3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</row>
    <row r="526" spans="1:49" ht="14.4" x14ac:dyDescent="0.3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</row>
    <row r="527" spans="1:49" ht="14.4" x14ac:dyDescent="0.3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</row>
    <row r="528" spans="1:49" ht="14.4" x14ac:dyDescent="0.3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</row>
    <row r="529" spans="1:49" ht="14.4" x14ac:dyDescent="0.3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</row>
    <row r="530" spans="1:49" ht="14.4" x14ac:dyDescent="0.3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</row>
    <row r="531" spans="1:49" ht="14.4" x14ac:dyDescent="0.3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</row>
    <row r="532" spans="1:49" ht="14.4" x14ac:dyDescent="0.3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</row>
    <row r="533" spans="1:49" ht="14.4" x14ac:dyDescent="0.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</row>
    <row r="534" spans="1:49" ht="14.4" x14ac:dyDescent="0.3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</row>
    <row r="535" spans="1:49" ht="14.4" x14ac:dyDescent="0.3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</row>
    <row r="536" spans="1:49" ht="14.4" x14ac:dyDescent="0.3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</row>
    <row r="537" spans="1:49" ht="14.4" x14ac:dyDescent="0.3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</row>
    <row r="538" spans="1:49" ht="14.4" x14ac:dyDescent="0.3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</row>
    <row r="539" spans="1:49" ht="14.4" x14ac:dyDescent="0.3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</row>
    <row r="540" spans="1:49" ht="14.4" x14ac:dyDescent="0.3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</row>
    <row r="541" spans="1:49" ht="14.4" x14ac:dyDescent="0.3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</row>
    <row r="542" spans="1:49" ht="14.4" x14ac:dyDescent="0.3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</row>
    <row r="543" spans="1:49" ht="14.4" x14ac:dyDescent="0.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</row>
    <row r="544" spans="1:49" ht="14.4" x14ac:dyDescent="0.3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</row>
    <row r="545" spans="1:49" ht="14.4" x14ac:dyDescent="0.3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</row>
    <row r="546" spans="1:49" ht="14.4" x14ac:dyDescent="0.3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</row>
    <row r="547" spans="1:49" ht="14.4" x14ac:dyDescent="0.3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</row>
    <row r="548" spans="1:49" ht="14.4" x14ac:dyDescent="0.3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</row>
    <row r="549" spans="1:49" ht="14.4" x14ac:dyDescent="0.3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</row>
    <row r="550" spans="1:49" ht="14.4" x14ac:dyDescent="0.3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</row>
    <row r="551" spans="1:49" ht="14.4" x14ac:dyDescent="0.3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</row>
    <row r="552" spans="1:49" ht="14.4" x14ac:dyDescent="0.3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</row>
    <row r="553" spans="1:49" ht="14.4" x14ac:dyDescent="0.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</row>
    <row r="554" spans="1:49" ht="14.4" x14ac:dyDescent="0.3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</row>
    <row r="555" spans="1:49" ht="14.4" x14ac:dyDescent="0.3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</row>
    <row r="556" spans="1:49" ht="14.4" x14ac:dyDescent="0.3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</row>
    <row r="557" spans="1:49" ht="14.4" x14ac:dyDescent="0.3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</row>
    <row r="558" spans="1:49" ht="14.4" x14ac:dyDescent="0.3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</row>
    <row r="559" spans="1:49" ht="14.4" x14ac:dyDescent="0.3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</row>
    <row r="560" spans="1:49" ht="14.4" x14ac:dyDescent="0.3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</row>
    <row r="561" spans="1:49" ht="14.4" x14ac:dyDescent="0.3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</row>
    <row r="562" spans="1:49" ht="14.4" x14ac:dyDescent="0.3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</row>
    <row r="563" spans="1:49" ht="14.4" x14ac:dyDescent="0.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</row>
    <row r="564" spans="1:49" ht="14.4" x14ac:dyDescent="0.3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</row>
    <row r="565" spans="1:49" ht="14.4" x14ac:dyDescent="0.3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</row>
    <row r="566" spans="1:49" ht="14.4" x14ac:dyDescent="0.3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</row>
    <row r="567" spans="1:49" ht="14.4" x14ac:dyDescent="0.3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</row>
    <row r="568" spans="1:49" ht="14.4" x14ac:dyDescent="0.3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</row>
    <row r="569" spans="1:49" ht="14.4" x14ac:dyDescent="0.3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</row>
    <row r="570" spans="1:49" ht="14.4" x14ac:dyDescent="0.3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</row>
    <row r="571" spans="1:49" ht="14.4" x14ac:dyDescent="0.3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</row>
    <row r="572" spans="1:49" ht="14.4" x14ac:dyDescent="0.3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</row>
    <row r="573" spans="1:49" ht="14.4" x14ac:dyDescent="0.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</row>
    <row r="574" spans="1:49" ht="14.4" x14ac:dyDescent="0.3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</row>
    <row r="575" spans="1:49" ht="14.4" x14ac:dyDescent="0.3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</row>
    <row r="576" spans="1:49" ht="14.4" x14ac:dyDescent="0.3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</row>
    <row r="577" spans="1:49" ht="14.4" x14ac:dyDescent="0.3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</row>
    <row r="578" spans="1:49" ht="14.4" x14ac:dyDescent="0.3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</row>
    <row r="579" spans="1:49" ht="14.4" x14ac:dyDescent="0.3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</row>
    <row r="580" spans="1:49" ht="14.4" x14ac:dyDescent="0.3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</row>
    <row r="581" spans="1:49" ht="14.4" x14ac:dyDescent="0.3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</row>
    <row r="582" spans="1:49" ht="14.4" x14ac:dyDescent="0.3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</row>
    <row r="583" spans="1:49" ht="14.4" x14ac:dyDescent="0.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</row>
    <row r="584" spans="1:49" ht="14.4" x14ac:dyDescent="0.3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</row>
    <row r="585" spans="1:49" ht="14.4" x14ac:dyDescent="0.3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</row>
    <row r="586" spans="1:49" ht="14.4" x14ac:dyDescent="0.3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</row>
    <row r="587" spans="1:49" ht="14.4" x14ac:dyDescent="0.3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</row>
    <row r="588" spans="1:49" ht="14.4" x14ac:dyDescent="0.3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</row>
    <row r="589" spans="1:49" ht="14.4" x14ac:dyDescent="0.3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</row>
    <row r="590" spans="1:49" ht="14.4" x14ac:dyDescent="0.3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</row>
    <row r="591" spans="1:49" ht="14.4" x14ac:dyDescent="0.3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</row>
    <row r="592" spans="1:49" ht="14.4" x14ac:dyDescent="0.3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</row>
    <row r="593" spans="1:49" ht="14.4" x14ac:dyDescent="0.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</row>
    <row r="594" spans="1:49" ht="14.4" x14ac:dyDescent="0.3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</row>
    <row r="595" spans="1:49" ht="14.4" x14ac:dyDescent="0.3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</row>
    <row r="596" spans="1:49" ht="14.4" x14ac:dyDescent="0.3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</row>
    <row r="597" spans="1:49" ht="14.4" x14ac:dyDescent="0.3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</row>
    <row r="598" spans="1:49" ht="14.4" x14ac:dyDescent="0.3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</row>
    <row r="599" spans="1:49" ht="14.4" x14ac:dyDescent="0.3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</row>
    <row r="600" spans="1:49" ht="14.4" x14ac:dyDescent="0.3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</row>
    <row r="601" spans="1:49" ht="14.4" x14ac:dyDescent="0.3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</row>
    <row r="602" spans="1:49" ht="14.4" x14ac:dyDescent="0.3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</row>
    <row r="603" spans="1:49" ht="14.4" x14ac:dyDescent="0.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</row>
    <row r="604" spans="1:49" ht="14.4" x14ac:dyDescent="0.3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</row>
    <row r="605" spans="1:49" ht="14.4" x14ac:dyDescent="0.3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</row>
    <row r="606" spans="1:49" ht="14.4" x14ac:dyDescent="0.3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</row>
    <row r="607" spans="1:49" ht="14.4" x14ac:dyDescent="0.3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</row>
    <row r="608" spans="1:49" ht="14.4" x14ac:dyDescent="0.3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</row>
    <row r="609" spans="1:49" ht="14.4" x14ac:dyDescent="0.3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</row>
    <row r="610" spans="1:49" ht="14.4" x14ac:dyDescent="0.3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</row>
    <row r="611" spans="1:49" ht="14.4" x14ac:dyDescent="0.3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</row>
    <row r="612" spans="1:49" ht="14.4" x14ac:dyDescent="0.3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</row>
    <row r="613" spans="1:49" ht="14.4" x14ac:dyDescent="0.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</row>
    <row r="614" spans="1:49" ht="14.4" x14ac:dyDescent="0.3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</row>
    <row r="615" spans="1:49" ht="14.4" x14ac:dyDescent="0.3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</row>
    <row r="616" spans="1:49" ht="14.4" x14ac:dyDescent="0.3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</row>
    <row r="617" spans="1:49" ht="14.4" x14ac:dyDescent="0.3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</row>
    <row r="618" spans="1:49" ht="14.4" x14ac:dyDescent="0.3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</row>
    <row r="619" spans="1:49" ht="14.4" x14ac:dyDescent="0.3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</row>
    <row r="620" spans="1:49" ht="14.4" x14ac:dyDescent="0.3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</row>
    <row r="621" spans="1:49" ht="14.4" x14ac:dyDescent="0.3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</row>
    <row r="622" spans="1:49" ht="14.4" x14ac:dyDescent="0.3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</row>
    <row r="623" spans="1:49" ht="14.4" x14ac:dyDescent="0.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</row>
    <row r="624" spans="1:49" ht="14.4" x14ac:dyDescent="0.3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</row>
    <row r="625" spans="1:49" ht="14.4" x14ac:dyDescent="0.3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</row>
    <row r="626" spans="1:49" ht="14.4" x14ac:dyDescent="0.3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</row>
    <row r="627" spans="1:49" ht="14.4" x14ac:dyDescent="0.3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</row>
    <row r="628" spans="1:49" ht="14.4" x14ac:dyDescent="0.3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</row>
    <row r="629" spans="1:49" ht="14.4" x14ac:dyDescent="0.3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</row>
    <row r="630" spans="1:49" ht="14.4" x14ac:dyDescent="0.3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</row>
    <row r="631" spans="1:49" ht="14.4" x14ac:dyDescent="0.3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</row>
    <row r="632" spans="1:49" ht="14.4" x14ac:dyDescent="0.3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</row>
    <row r="633" spans="1:49" ht="14.4" x14ac:dyDescent="0.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</row>
    <row r="634" spans="1:49" ht="14.4" x14ac:dyDescent="0.3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</row>
    <row r="635" spans="1:49" ht="14.4" x14ac:dyDescent="0.3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</row>
    <row r="636" spans="1:49" ht="14.4" x14ac:dyDescent="0.3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</row>
    <row r="637" spans="1:49" ht="14.4" x14ac:dyDescent="0.3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</row>
    <row r="638" spans="1:49" ht="14.4" x14ac:dyDescent="0.3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</row>
    <row r="639" spans="1:49" ht="14.4" x14ac:dyDescent="0.3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</row>
    <row r="640" spans="1:49" ht="14.4" x14ac:dyDescent="0.3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</row>
    <row r="641" spans="1:49" ht="14.4" x14ac:dyDescent="0.3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</row>
    <row r="642" spans="1:49" ht="14.4" x14ac:dyDescent="0.3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</row>
    <row r="643" spans="1:49" ht="14.4" x14ac:dyDescent="0.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</row>
    <row r="644" spans="1:49" ht="14.4" x14ac:dyDescent="0.3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</row>
    <row r="645" spans="1:49" ht="14.4" x14ac:dyDescent="0.3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</row>
    <row r="646" spans="1:49" ht="14.4" x14ac:dyDescent="0.3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</row>
    <row r="647" spans="1:49" ht="14.4" x14ac:dyDescent="0.3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</row>
    <row r="648" spans="1:49" ht="14.4" x14ac:dyDescent="0.3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</row>
    <row r="649" spans="1:49" ht="14.4" x14ac:dyDescent="0.3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</row>
    <row r="650" spans="1:49" ht="14.4" x14ac:dyDescent="0.3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</row>
    <row r="651" spans="1:49" ht="14.4" x14ac:dyDescent="0.3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</row>
    <row r="652" spans="1:49" ht="14.4" x14ac:dyDescent="0.3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</row>
    <row r="653" spans="1:49" ht="14.4" x14ac:dyDescent="0.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</row>
    <row r="654" spans="1:49" ht="14.4" x14ac:dyDescent="0.3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</row>
    <row r="655" spans="1:49" ht="14.4" x14ac:dyDescent="0.3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</row>
    <row r="656" spans="1:49" ht="14.4" x14ac:dyDescent="0.3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</row>
    <row r="657" spans="1:49" ht="14.4" x14ac:dyDescent="0.3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</row>
    <row r="658" spans="1:49" ht="14.4" x14ac:dyDescent="0.3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</row>
    <row r="659" spans="1:49" ht="14.4" x14ac:dyDescent="0.3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</row>
    <row r="660" spans="1:49" ht="14.4" x14ac:dyDescent="0.3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</row>
    <row r="661" spans="1:49" ht="14.4" x14ac:dyDescent="0.3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</row>
    <row r="662" spans="1:49" ht="14.4" x14ac:dyDescent="0.3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</row>
    <row r="663" spans="1:49" ht="14.4" x14ac:dyDescent="0.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</row>
    <row r="664" spans="1:49" ht="14.4" x14ac:dyDescent="0.3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</row>
    <row r="665" spans="1:49" ht="14.4" x14ac:dyDescent="0.3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</row>
    <row r="666" spans="1:49" ht="14.4" x14ac:dyDescent="0.3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</row>
    <row r="667" spans="1:49" ht="14.4" x14ac:dyDescent="0.3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</row>
    <row r="668" spans="1:49" ht="14.4" x14ac:dyDescent="0.3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</row>
    <row r="669" spans="1:49" ht="14.4" x14ac:dyDescent="0.3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</row>
    <row r="670" spans="1:49" ht="14.4" x14ac:dyDescent="0.3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</row>
    <row r="671" spans="1:49" ht="14.4" x14ac:dyDescent="0.3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</row>
    <row r="672" spans="1:49" ht="14.4" x14ac:dyDescent="0.3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</row>
    <row r="673" spans="1:49" ht="14.4" x14ac:dyDescent="0.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</row>
    <row r="674" spans="1:49" ht="14.4" x14ac:dyDescent="0.3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</row>
    <row r="675" spans="1:49" ht="14.4" x14ac:dyDescent="0.3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</row>
    <row r="676" spans="1:49" ht="14.4" x14ac:dyDescent="0.3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</row>
    <row r="677" spans="1:49" ht="14.4" x14ac:dyDescent="0.3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</row>
    <row r="678" spans="1:49" ht="14.4" x14ac:dyDescent="0.3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</row>
    <row r="679" spans="1:49" ht="14.4" x14ac:dyDescent="0.3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</row>
    <row r="680" spans="1:49" ht="14.4" x14ac:dyDescent="0.3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</row>
    <row r="681" spans="1:49" ht="14.4" x14ac:dyDescent="0.3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</row>
    <row r="682" spans="1:49" ht="14.4" x14ac:dyDescent="0.3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</row>
    <row r="683" spans="1:49" ht="14.4" x14ac:dyDescent="0.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</row>
    <row r="684" spans="1:49" ht="14.4" x14ac:dyDescent="0.3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</row>
    <row r="685" spans="1:49" ht="14.4" x14ac:dyDescent="0.3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</row>
    <row r="686" spans="1:49" ht="14.4" x14ac:dyDescent="0.3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</row>
    <row r="687" spans="1:49" ht="14.4" x14ac:dyDescent="0.3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</row>
    <row r="688" spans="1:49" ht="14.4" x14ac:dyDescent="0.3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</row>
    <row r="689" spans="1:49" ht="14.4" x14ac:dyDescent="0.3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</row>
    <row r="690" spans="1:49" ht="14.4" x14ac:dyDescent="0.3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</row>
    <row r="691" spans="1:49" ht="14.4" x14ac:dyDescent="0.3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</row>
    <row r="692" spans="1:49" ht="14.4" x14ac:dyDescent="0.3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</row>
    <row r="693" spans="1:49" ht="14.4" x14ac:dyDescent="0.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</row>
    <row r="694" spans="1:49" ht="14.4" x14ac:dyDescent="0.3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</row>
    <row r="695" spans="1:49" ht="14.4" x14ac:dyDescent="0.3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</row>
    <row r="696" spans="1:49" ht="14.4" x14ac:dyDescent="0.3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</row>
    <row r="697" spans="1:49" ht="14.4" x14ac:dyDescent="0.3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</row>
    <row r="698" spans="1:49" ht="14.4" x14ac:dyDescent="0.3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</row>
    <row r="699" spans="1:49" ht="14.4" x14ac:dyDescent="0.3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</row>
    <row r="700" spans="1:49" ht="14.4" x14ac:dyDescent="0.3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</row>
    <row r="701" spans="1:49" ht="14.4" x14ac:dyDescent="0.3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</row>
    <row r="702" spans="1:49" ht="14.4" x14ac:dyDescent="0.3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</row>
    <row r="703" spans="1:49" ht="14.4" x14ac:dyDescent="0.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</row>
    <row r="704" spans="1:49" ht="14.4" x14ac:dyDescent="0.3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</row>
    <row r="705" spans="1:49" ht="14.4" x14ac:dyDescent="0.3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</row>
    <row r="706" spans="1:49" ht="14.4" x14ac:dyDescent="0.3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</row>
    <row r="707" spans="1:49" ht="14.4" x14ac:dyDescent="0.3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</row>
    <row r="708" spans="1:49" ht="14.4" x14ac:dyDescent="0.3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</row>
    <row r="709" spans="1:49" ht="14.4" x14ac:dyDescent="0.3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</row>
    <row r="710" spans="1:49" ht="14.4" x14ac:dyDescent="0.3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</row>
    <row r="711" spans="1:49" ht="14.4" x14ac:dyDescent="0.3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</row>
    <row r="712" spans="1:49" ht="14.4" x14ac:dyDescent="0.3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</row>
    <row r="713" spans="1:49" ht="14.4" x14ac:dyDescent="0.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</row>
    <row r="714" spans="1:49" ht="14.4" x14ac:dyDescent="0.3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</row>
    <row r="715" spans="1:49" ht="14.4" x14ac:dyDescent="0.3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</row>
    <row r="716" spans="1:49" ht="14.4" x14ac:dyDescent="0.3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</row>
    <row r="717" spans="1:49" ht="14.4" x14ac:dyDescent="0.3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</row>
    <row r="718" spans="1:49" ht="14.4" x14ac:dyDescent="0.3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</row>
    <row r="719" spans="1:49" ht="14.4" x14ac:dyDescent="0.3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</row>
    <row r="720" spans="1:49" ht="14.4" x14ac:dyDescent="0.3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</row>
    <row r="721" spans="1:49" ht="14.4" x14ac:dyDescent="0.3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</row>
    <row r="722" spans="1:49" ht="14.4" x14ac:dyDescent="0.3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</row>
    <row r="723" spans="1:49" ht="14.4" x14ac:dyDescent="0.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</row>
    <row r="724" spans="1:49" ht="14.4" x14ac:dyDescent="0.3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</row>
    <row r="725" spans="1:49" ht="14.4" x14ac:dyDescent="0.3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</row>
    <row r="726" spans="1:49" ht="14.4" x14ac:dyDescent="0.3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</row>
    <row r="727" spans="1:49" ht="14.4" x14ac:dyDescent="0.3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</row>
    <row r="728" spans="1:49" ht="14.4" x14ac:dyDescent="0.3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</row>
    <row r="729" spans="1:49" ht="14.4" x14ac:dyDescent="0.3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</row>
    <row r="730" spans="1:49" ht="14.4" x14ac:dyDescent="0.3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</row>
    <row r="731" spans="1:49" ht="14.4" x14ac:dyDescent="0.3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</row>
    <row r="732" spans="1:49" ht="14.4" x14ac:dyDescent="0.3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</row>
    <row r="733" spans="1:49" ht="14.4" x14ac:dyDescent="0.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</row>
    <row r="734" spans="1:49" ht="14.4" x14ac:dyDescent="0.3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</row>
    <row r="735" spans="1:49" ht="14.4" x14ac:dyDescent="0.3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</row>
    <row r="736" spans="1:49" ht="14.4" x14ac:dyDescent="0.3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</row>
    <row r="737" spans="1:49" ht="14.4" x14ac:dyDescent="0.3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</row>
    <row r="738" spans="1:49" ht="14.4" x14ac:dyDescent="0.3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</row>
    <row r="739" spans="1:49" ht="14.4" x14ac:dyDescent="0.3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</row>
    <row r="740" spans="1:49" ht="14.4" x14ac:dyDescent="0.3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</row>
    <row r="741" spans="1:49" ht="14.4" x14ac:dyDescent="0.3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</row>
    <row r="742" spans="1:49" ht="14.4" x14ac:dyDescent="0.3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</row>
    <row r="743" spans="1:49" ht="14.4" x14ac:dyDescent="0.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</row>
    <row r="744" spans="1:49" ht="14.4" x14ac:dyDescent="0.3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</row>
    <row r="745" spans="1:49" ht="14.4" x14ac:dyDescent="0.3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</row>
    <row r="746" spans="1:49" ht="14.4" x14ac:dyDescent="0.3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</row>
    <row r="747" spans="1:49" ht="14.4" x14ac:dyDescent="0.3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</row>
    <row r="748" spans="1:49" ht="14.4" x14ac:dyDescent="0.3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</row>
    <row r="749" spans="1:49" ht="14.4" x14ac:dyDescent="0.3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</row>
    <row r="750" spans="1:49" ht="14.4" x14ac:dyDescent="0.3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</row>
    <row r="751" spans="1:49" ht="14.4" x14ac:dyDescent="0.3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</row>
    <row r="752" spans="1:49" ht="14.4" x14ac:dyDescent="0.3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</row>
    <row r="753" spans="1:49" ht="14.4" x14ac:dyDescent="0.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</row>
    <row r="754" spans="1:49" ht="14.4" x14ac:dyDescent="0.3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</row>
    <row r="755" spans="1:49" ht="14.4" x14ac:dyDescent="0.3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</row>
    <row r="756" spans="1:49" ht="14.4" x14ac:dyDescent="0.3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</row>
    <row r="757" spans="1:49" ht="14.4" x14ac:dyDescent="0.3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</row>
    <row r="758" spans="1:49" ht="14.4" x14ac:dyDescent="0.3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</row>
    <row r="759" spans="1:49" ht="14.4" x14ac:dyDescent="0.3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</row>
    <row r="760" spans="1:49" ht="14.4" x14ac:dyDescent="0.3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</row>
    <row r="761" spans="1:49" ht="14.4" x14ac:dyDescent="0.3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</row>
    <row r="762" spans="1:49" ht="14.4" x14ac:dyDescent="0.3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</row>
    <row r="763" spans="1:49" ht="14.4" x14ac:dyDescent="0.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</row>
    <row r="764" spans="1:49" ht="14.4" x14ac:dyDescent="0.3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</row>
    <row r="765" spans="1:49" ht="14.4" x14ac:dyDescent="0.3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</row>
    <row r="766" spans="1:49" ht="14.4" x14ac:dyDescent="0.3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</row>
    <row r="767" spans="1:49" ht="14.4" x14ac:dyDescent="0.3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</row>
    <row r="768" spans="1:49" ht="14.4" x14ac:dyDescent="0.3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</row>
    <row r="769" spans="1:49" ht="14.4" x14ac:dyDescent="0.3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</row>
    <row r="770" spans="1:49" ht="14.4" x14ac:dyDescent="0.3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</row>
    <row r="771" spans="1:49" ht="14.4" x14ac:dyDescent="0.3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</row>
    <row r="772" spans="1:49" ht="14.4" x14ac:dyDescent="0.3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</row>
    <row r="773" spans="1:49" ht="14.4" x14ac:dyDescent="0.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</row>
    <row r="774" spans="1:49" ht="14.4" x14ac:dyDescent="0.3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</row>
    <row r="775" spans="1:49" ht="14.4" x14ac:dyDescent="0.3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</row>
    <row r="776" spans="1:49" ht="14.4" x14ac:dyDescent="0.3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</row>
    <row r="777" spans="1:49" ht="14.4" x14ac:dyDescent="0.3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</row>
    <row r="778" spans="1:49" ht="14.4" x14ac:dyDescent="0.3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</row>
    <row r="779" spans="1:49" ht="14.4" x14ac:dyDescent="0.3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</row>
    <row r="780" spans="1:49" ht="14.4" x14ac:dyDescent="0.3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</row>
    <row r="781" spans="1:49" ht="14.4" x14ac:dyDescent="0.3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</row>
    <row r="782" spans="1:49" ht="14.4" x14ac:dyDescent="0.3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</row>
    <row r="783" spans="1:49" ht="14.4" x14ac:dyDescent="0.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</row>
    <row r="784" spans="1:49" ht="14.4" x14ac:dyDescent="0.3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</row>
    <row r="785" spans="1:49" ht="14.4" x14ac:dyDescent="0.3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</row>
    <row r="786" spans="1:49" ht="14.4" x14ac:dyDescent="0.3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</row>
    <row r="787" spans="1:49" ht="14.4" x14ac:dyDescent="0.3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</row>
    <row r="788" spans="1:49" ht="14.4" x14ac:dyDescent="0.3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</row>
    <row r="789" spans="1:49" ht="14.4" x14ac:dyDescent="0.3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</row>
    <row r="790" spans="1:49" ht="14.4" x14ac:dyDescent="0.3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</row>
    <row r="791" spans="1:49" ht="14.4" x14ac:dyDescent="0.3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</row>
    <row r="792" spans="1:49" ht="14.4" x14ac:dyDescent="0.3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</row>
    <row r="793" spans="1:49" ht="14.4" x14ac:dyDescent="0.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</row>
    <row r="794" spans="1:49" ht="14.4" x14ac:dyDescent="0.3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</row>
    <row r="795" spans="1:49" ht="14.4" x14ac:dyDescent="0.3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</row>
    <row r="796" spans="1:49" ht="14.4" x14ac:dyDescent="0.3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</row>
    <row r="797" spans="1:49" ht="14.4" x14ac:dyDescent="0.3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</row>
    <row r="798" spans="1:49" ht="14.4" x14ac:dyDescent="0.3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</row>
    <row r="799" spans="1:49" ht="14.4" x14ac:dyDescent="0.3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</row>
    <row r="800" spans="1:49" ht="14.4" x14ac:dyDescent="0.3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</row>
    <row r="801" spans="1:49" ht="14.4" x14ac:dyDescent="0.3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</row>
    <row r="802" spans="1:49" ht="14.4" x14ac:dyDescent="0.3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</row>
    <row r="803" spans="1:49" ht="14.4" x14ac:dyDescent="0.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</row>
    <row r="804" spans="1:49" ht="14.4" x14ac:dyDescent="0.3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</row>
    <row r="805" spans="1:49" ht="14.4" x14ac:dyDescent="0.3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</row>
    <row r="806" spans="1:49" ht="14.4" x14ac:dyDescent="0.3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</row>
    <row r="807" spans="1:49" ht="14.4" x14ac:dyDescent="0.3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</row>
    <row r="808" spans="1:49" ht="14.4" x14ac:dyDescent="0.3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</row>
    <row r="809" spans="1:49" ht="14.4" x14ac:dyDescent="0.3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</row>
    <row r="810" spans="1:49" ht="14.4" x14ac:dyDescent="0.3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</row>
    <row r="811" spans="1:49" ht="14.4" x14ac:dyDescent="0.3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</row>
    <row r="812" spans="1:49" ht="14.4" x14ac:dyDescent="0.3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</row>
    <row r="813" spans="1:49" ht="14.4" x14ac:dyDescent="0.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</row>
    <row r="814" spans="1:49" ht="14.4" x14ac:dyDescent="0.3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</row>
    <row r="815" spans="1:49" ht="14.4" x14ac:dyDescent="0.3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</row>
    <row r="816" spans="1:49" ht="14.4" x14ac:dyDescent="0.3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</row>
    <row r="817" spans="1:49" ht="14.4" x14ac:dyDescent="0.3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</row>
    <row r="818" spans="1:49" ht="14.4" x14ac:dyDescent="0.3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</row>
    <row r="819" spans="1:49" ht="14.4" x14ac:dyDescent="0.3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</row>
    <row r="820" spans="1:49" ht="14.4" x14ac:dyDescent="0.3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</row>
    <row r="821" spans="1:49" ht="14.4" x14ac:dyDescent="0.3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</row>
    <row r="822" spans="1:49" ht="14.4" x14ac:dyDescent="0.3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</row>
    <row r="823" spans="1:49" ht="14.4" x14ac:dyDescent="0.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</row>
    <row r="824" spans="1:49" ht="14.4" x14ac:dyDescent="0.3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</row>
    <row r="825" spans="1:49" ht="14.4" x14ac:dyDescent="0.3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</row>
    <row r="826" spans="1:49" ht="14.4" x14ac:dyDescent="0.3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</row>
    <row r="827" spans="1:49" ht="14.4" x14ac:dyDescent="0.3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</row>
    <row r="828" spans="1:49" ht="14.4" x14ac:dyDescent="0.3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</row>
    <row r="829" spans="1:49" ht="14.4" x14ac:dyDescent="0.3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</row>
    <row r="830" spans="1:49" ht="14.4" x14ac:dyDescent="0.3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</row>
    <row r="831" spans="1:49" ht="14.4" x14ac:dyDescent="0.3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</row>
    <row r="832" spans="1:49" ht="14.4" x14ac:dyDescent="0.3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</row>
    <row r="833" spans="1:49" ht="14.4" x14ac:dyDescent="0.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</row>
    <row r="834" spans="1:49" ht="14.4" x14ac:dyDescent="0.3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</row>
    <row r="835" spans="1:49" ht="14.4" x14ac:dyDescent="0.3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</row>
    <row r="836" spans="1:49" ht="14.4" x14ac:dyDescent="0.3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</row>
    <row r="837" spans="1:49" ht="14.4" x14ac:dyDescent="0.3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</row>
    <row r="838" spans="1:49" ht="14.4" x14ac:dyDescent="0.3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</row>
    <row r="839" spans="1:49" ht="14.4" x14ac:dyDescent="0.3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</row>
    <row r="840" spans="1:49" ht="14.4" x14ac:dyDescent="0.3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</row>
    <row r="841" spans="1:49" ht="14.4" x14ac:dyDescent="0.3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</row>
    <row r="842" spans="1:49" ht="14.4" x14ac:dyDescent="0.3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</row>
    <row r="843" spans="1:49" ht="14.4" x14ac:dyDescent="0.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</row>
    <row r="844" spans="1:49" ht="14.4" x14ac:dyDescent="0.3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</row>
    <row r="845" spans="1:49" ht="14.4" x14ac:dyDescent="0.3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</row>
    <row r="846" spans="1:49" ht="14.4" x14ac:dyDescent="0.3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</row>
    <row r="847" spans="1:49" ht="14.4" x14ac:dyDescent="0.3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</row>
    <row r="848" spans="1:49" ht="14.4" x14ac:dyDescent="0.3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</row>
    <row r="849" spans="1:49" ht="14.4" x14ac:dyDescent="0.3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</row>
    <row r="850" spans="1:49" ht="14.4" x14ac:dyDescent="0.3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</row>
    <row r="851" spans="1:49" ht="14.4" x14ac:dyDescent="0.3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</row>
    <row r="852" spans="1:49" ht="14.4" x14ac:dyDescent="0.3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</row>
    <row r="853" spans="1:49" ht="14.4" x14ac:dyDescent="0.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</row>
    <row r="854" spans="1:49" ht="14.4" x14ac:dyDescent="0.3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</row>
    <row r="855" spans="1:49" ht="14.4" x14ac:dyDescent="0.3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</row>
    <row r="856" spans="1:49" ht="14.4" x14ac:dyDescent="0.3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</row>
    <row r="857" spans="1:49" ht="14.4" x14ac:dyDescent="0.3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</row>
    <row r="858" spans="1:49" ht="14.4" x14ac:dyDescent="0.3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</row>
    <row r="859" spans="1:49" ht="14.4" x14ac:dyDescent="0.3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</row>
    <row r="860" spans="1:49" ht="14.4" x14ac:dyDescent="0.3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</row>
    <row r="861" spans="1:49" ht="14.4" x14ac:dyDescent="0.3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</row>
    <row r="862" spans="1:49" ht="14.4" x14ac:dyDescent="0.3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</row>
    <row r="863" spans="1:49" ht="14.4" x14ac:dyDescent="0.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</row>
    <row r="864" spans="1:49" ht="14.4" x14ac:dyDescent="0.3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</row>
    <row r="865" spans="1:49" ht="14.4" x14ac:dyDescent="0.3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</row>
    <row r="866" spans="1:49" ht="14.4" x14ac:dyDescent="0.3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</row>
    <row r="867" spans="1:49" ht="14.4" x14ac:dyDescent="0.3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</row>
    <row r="868" spans="1:49" ht="14.4" x14ac:dyDescent="0.3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</row>
    <row r="869" spans="1:49" ht="14.4" x14ac:dyDescent="0.3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</row>
    <row r="870" spans="1:49" ht="14.4" x14ac:dyDescent="0.3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</row>
    <row r="871" spans="1:49" ht="14.4" x14ac:dyDescent="0.3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</row>
    <row r="872" spans="1:49" ht="14.4" x14ac:dyDescent="0.3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</row>
    <row r="873" spans="1:49" ht="14.4" x14ac:dyDescent="0.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</row>
    <row r="874" spans="1:49" ht="14.4" x14ac:dyDescent="0.3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</row>
    <row r="875" spans="1:49" ht="14.4" x14ac:dyDescent="0.3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</row>
    <row r="876" spans="1:49" ht="14.4" x14ac:dyDescent="0.3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</row>
    <row r="877" spans="1:49" ht="14.4" x14ac:dyDescent="0.3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</row>
    <row r="878" spans="1:49" ht="14.4" x14ac:dyDescent="0.3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</row>
    <row r="879" spans="1:49" ht="14.4" x14ac:dyDescent="0.3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</row>
    <row r="880" spans="1:49" ht="14.4" x14ac:dyDescent="0.3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</row>
    <row r="881" spans="1:49" ht="14.4" x14ac:dyDescent="0.3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</row>
    <row r="882" spans="1:49" ht="14.4" x14ac:dyDescent="0.3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</row>
    <row r="883" spans="1:49" ht="14.4" x14ac:dyDescent="0.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</row>
    <row r="884" spans="1:49" ht="14.4" x14ac:dyDescent="0.3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</row>
    <row r="885" spans="1:49" ht="14.4" x14ac:dyDescent="0.3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</row>
    <row r="886" spans="1:49" ht="14.4" x14ac:dyDescent="0.3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</row>
    <row r="887" spans="1:49" ht="14.4" x14ac:dyDescent="0.3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</row>
    <row r="888" spans="1:49" ht="14.4" x14ac:dyDescent="0.3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</row>
    <row r="889" spans="1:49" ht="14.4" x14ac:dyDescent="0.3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</row>
    <row r="890" spans="1:49" ht="14.4" x14ac:dyDescent="0.3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</row>
    <row r="891" spans="1:49" ht="14.4" x14ac:dyDescent="0.3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</row>
    <row r="892" spans="1:49" ht="14.4" x14ac:dyDescent="0.3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</row>
    <row r="893" spans="1:49" ht="14.4" x14ac:dyDescent="0.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</row>
    <row r="894" spans="1:49" ht="14.4" x14ac:dyDescent="0.3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</row>
    <row r="895" spans="1:49" ht="14.4" x14ac:dyDescent="0.3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</row>
    <row r="896" spans="1:49" ht="14.4" x14ac:dyDescent="0.3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</row>
    <row r="897" spans="1:49" ht="14.4" x14ac:dyDescent="0.3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</row>
    <row r="898" spans="1:49" ht="14.4" x14ac:dyDescent="0.3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</row>
    <row r="899" spans="1:49" ht="14.4" x14ac:dyDescent="0.3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</row>
    <row r="900" spans="1:49" ht="14.4" x14ac:dyDescent="0.3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</row>
    <row r="901" spans="1:49" ht="14.4" x14ac:dyDescent="0.3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</row>
    <row r="902" spans="1:49" ht="14.4" x14ac:dyDescent="0.3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</row>
    <row r="903" spans="1:49" ht="14.4" x14ac:dyDescent="0.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</row>
    <row r="904" spans="1:49" ht="14.4" x14ac:dyDescent="0.3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</row>
    <row r="905" spans="1:49" ht="14.4" x14ac:dyDescent="0.3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</row>
    <row r="906" spans="1:49" ht="14.4" x14ac:dyDescent="0.3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</row>
    <row r="907" spans="1:49" ht="14.4" x14ac:dyDescent="0.3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</row>
    <row r="908" spans="1:49" ht="14.4" x14ac:dyDescent="0.3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</row>
    <row r="909" spans="1:49" ht="14.4" x14ac:dyDescent="0.3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</row>
    <row r="910" spans="1:49" ht="14.4" x14ac:dyDescent="0.3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</row>
    <row r="911" spans="1:49" ht="14.4" x14ac:dyDescent="0.3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</row>
    <row r="912" spans="1:49" ht="14.4" x14ac:dyDescent="0.3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</row>
    <row r="913" spans="1:49" ht="14.4" x14ac:dyDescent="0.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</row>
    <row r="914" spans="1:49" ht="14.4" x14ac:dyDescent="0.3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</row>
    <row r="915" spans="1:49" ht="14.4" x14ac:dyDescent="0.3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</row>
    <row r="916" spans="1:49" ht="14.4" x14ac:dyDescent="0.3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</row>
    <row r="917" spans="1:49" ht="14.4" x14ac:dyDescent="0.3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</row>
    <row r="918" spans="1:49" ht="14.4" x14ac:dyDescent="0.3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</row>
    <row r="919" spans="1:49" ht="14.4" x14ac:dyDescent="0.3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</row>
    <row r="920" spans="1:49" ht="14.4" x14ac:dyDescent="0.3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</row>
    <row r="921" spans="1:49" ht="14.4" x14ac:dyDescent="0.3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</row>
    <row r="922" spans="1:49" ht="14.4" x14ac:dyDescent="0.3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</row>
    <row r="923" spans="1:49" ht="14.4" x14ac:dyDescent="0.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</row>
    <row r="924" spans="1:49" ht="14.4" x14ac:dyDescent="0.3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</row>
    <row r="925" spans="1:49" ht="14.4" x14ac:dyDescent="0.3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</row>
    <row r="926" spans="1:49" ht="14.4" x14ac:dyDescent="0.3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</row>
    <row r="927" spans="1:49" ht="14.4" x14ac:dyDescent="0.3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</row>
    <row r="928" spans="1:49" ht="14.4" x14ac:dyDescent="0.3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</row>
    <row r="929" spans="1:49" ht="14.4" x14ac:dyDescent="0.3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</row>
    <row r="930" spans="1:49" ht="14.4" x14ac:dyDescent="0.3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</row>
    <row r="931" spans="1:49" ht="14.4" x14ac:dyDescent="0.3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</row>
    <row r="932" spans="1:49" ht="14.4" x14ac:dyDescent="0.3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</row>
    <row r="933" spans="1:49" ht="14.4" x14ac:dyDescent="0.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</row>
    <row r="934" spans="1:49" ht="14.4" x14ac:dyDescent="0.3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</row>
    <row r="935" spans="1:49" ht="14.4" x14ac:dyDescent="0.3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</row>
    <row r="936" spans="1:49" ht="14.4" x14ac:dyDescent="0.3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</row>
    <row r="937" spans="1:49" ht="14.4" x14ac:dyDescent="0.3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</row>
    <row r="938" spans="1:49" ht="14.4" x14ac:dyDescent="0.3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</row>
    <row r="939" spans="1:49" ht="14.4" x14ac:dyDescent="0.3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</row>
    <row r="940" spans="1:49" ht="14.4" x14ac:dyDescent="0.3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</row>
    <row r="941" spans="1:49" ht="14.4" x14ac:dyDescent="0.3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</row>
    <row r="942" spans="1:49" ht="14.4" x14ac:dyDescent="0.3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</row>
    <row r="943" spans="1:49" ht="14.4" x14ac:dyDescent="0.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</row>
    <row r="944" spans="1:49" ht="14.4" x14ac:dyDescent="0.3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</row>
    <row r="945" spans="1:49" ht="14.4" x14ac:dyDescent="0.3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</row>
    <row r="946" spans="1:49" ht="14.4" x14ac:dyDescent="0.3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</row>
    <row r="947" spans="1:49" ht="14.4" x14ac:dyDescent="0.3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</row>
    <row r="948" spans="1:49" ht="14.4" x14ac:dyDescent="0.3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</row>
    <row r="949" spans="1:49" ht="14.4" x14ac:dyDescent="0.3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</row>
    <row r="950" spans="1:49" ht="14.4" x14ac:dyDescent="0.3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</row>
    <row r="951" spans="1:49" ht="14.4" x14ac:dyDescent="0.3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</row>
    <row r="952" spans="1:49" ht="14.4" x14ac:dyDescent="0.3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</row>
    <row r="953" spans="1:49" ht="14.4" x14ac:dyDescent="0.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</row>
    <row r="954" spans="1:49" ht="14.4" x14ac:dyDescent="0.3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</row>
    <row r="955" spans="1:49" ht="14.4" x14ac:dyDescent="0.3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</row>
    <row r="956" spans="1:49" ht="14.4" x14ac:dyDescent="0.3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</row>
    <row r="957" spans="1:49" ht="14.4" x14ac:dyDescent="0.3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</row>
    <row r="958" spans="1:49" ht="14.4" x14ac:dyDescent="0.3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</row>
    <row r="959" spans="1:49" ht="14.4" x14ac:dyDescent="0.3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</row>
    <row r="960" spans="1:49" ht="14.4" x14ac:dyDescent="0.3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</row>
    <row r="961" spans="1:49" ht="14.4" x14ac:dyDescent="0.3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</row>
    <row r="962" spans="1:49" ht="14.4" x14ac:dyDescent="0.3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</row>
    <row r="963" spans="1:49" ht="14.4" x14ac:dyDescent="0.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</row>
    <row r="964" spans="1:49" ht="14.4" x14ac:dyDescent="0.3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</row>
    <row r="965" spans="1:49" ht="14.4" x14ac:dyDescent="0.3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</row>
    <row r="966" spans="1:49" ht="14.4" x14ac:dyDescent="0.3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</row>
    <row r="967" spans="1:49" ht="14.4" x14ac:dyDescent="0.3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</row>
    <row r="968" spans="1:49" ht="14.4" x14ac:dyDescent="0.3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</row>
    <row r="969" spans="1:49" ht="14.4" x14ac:dyDescent="0.3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</row>
    <row r="970" spans="1:49" ht="14.4" x14ac:dyDescent="0.3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</row>
    <row r="971" spans="1:49" ht="14.4" x14ac:dyDescent="0.3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</row>
    <row r="972" spans="1:49" ht="14.4" x14ac:dyDescent="0.3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</row>
    <row r="973" spans="1:49" ht="14.4" x14ac:dyDescent="0.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</row>
    <row r="974" spans="1:49" ht="14.4" x14ac:dyDescent="0.3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</row>
    <row r="975" spans="1:49" ht="14.4" x14ac:dyDescent="0.3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</row>
    <row r="976" spans="1:49" ht="14.4" x14ac:dyDescent="0.3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</row>
    <row r="977" spans="1:49" ht="14.4" x14ac:dyDescent="0.3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</row>
    <row r="978" spans="1:49" ht="14.4" x14ac:dyDescent="0.3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</row>
    <row r="979" spans="1:49" ht="14.4" x14ac:dyDescent="0.3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</row>
    <row r="980" spans="1:49" ht="14.4" x14ac:dyDescent="0.3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</row>
    <row r="981" spans="1:49" ht="14.4" x14ac:dyDescent="0.3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</row>
    <row r="982" spans="1:49" ht="14.4" x14ac:dyDescent="0.3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</row>
    <row r="983" spans="1:49" ht="14.4" x14ac:dyDescent="0.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</row>
    <row r="984" spans="1:49" ht="14.4" x14ac:dyDescent="0.3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</row>
    <row r="985" spans="1:49" ht="14.4" x14ac:dyDescent="0.3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</row>
    <row r="986" spans="1:49" ht="14.4" x14ac:dyDescent="0.3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</row>
    <row r="987" spans="1:49" ht="14.4" x14ac:dyDescent="0.3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</row>
    <row r="988" spans="1:49" ht="14.4" x14ac:dyDescent="0.3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</row>
    <row r="989" spans="1:49" ht="14.4" x14ac:dyDescent="0.3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</row>
    <row r="990" spans="1:49" ht="14.4" x14ac:dyDescent="0.3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</row>
    <row r="991" spans="1:49" ht="14.4" x14ac:dyDescent="0.3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</row>
    <row r="992" spans="1:49" ht="14.4" x14ac:dyDescent="0.3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</row>
    <row r="993" spans="1:49" ht="14.4" x14ac:dyDescent="0.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</row>
    <row r="994" spans="1:49" ht="14.4" x14ac:dyDescent="0.3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</row>
    <row r="995" spans="1:49" ht="14.4" x14ac:dyDescent="0.3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</row>
    <row r="996" spans="1:49" ht="14.4" x14ac:dyDescent="0.3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</row>
    <row r="997" spans="1:49" ht="14.4" x14ac:dyDescent="0.3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</row>
    <row r="998" spans="1:49" ht="14.4" x14ac:dyDescent="0.3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</row>
    <row r="999" spans="1:49" ht="14.4" x14ac:dyDescent="0.3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</row>
    <row r="1000" spans="1:49" ht="14.4" x14ac:dyDescent="0.3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</row>
    <row r="1001" spans="1:49" ht="14.4" x14ac:dyDescent="0.3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</row>
    <row r="1002" spans="1:49" ht="14.4" x14ac:dyDescent="0.3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</row>
    <row r="1003" spans="1:49" ht="14.4" x14ac:dyDescent="0.3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</row>
    <row r="1004" spans="1:49" ht="14.4" x14ac:dyDescent="0.3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</row>
    <row r="1005" spans="1:49" ht="14.4" x14ac:dyDescent="0.3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</row>
    <row r="1006" spans="1:49" ht="14.4" x14ac:dyDescent="0.3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</row>
    <row r="1007" spans="1:49" ht="14.4" x14ac:dyDescent="0.3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</row>
    <row r="1008" spans="1:49" ht="14.4" x14ac:dyDescent="0.3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</row>
    <row r="1009" spans="1:49" ht="14.4" x14ac:dyDescent="0.3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</row>
    <row r="1010" spans="1:49" ht="14.4" x14ac:dyDescent="0.3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</row>
    <row r="1011" spans="1:49" ht="14.4" x14ac:dyDescent="0.3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</row>
    <row r="1012" spans="1:49" ht="14.4" x14ac:dyDescent="0.3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</row>
    <row r="1013" spans="1:49" ht="14.4" x14ac:dyDescent="0.3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</row>
    <row r="1014" spans="1:49" ht="14.4" x14ac:dyDescent="0.3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</row>
  </sheetData>
  <phoneticPr fontId="11" type="noConversion"/>
  <conditionalFormatting sqref="C1:C1048576">
    <cfRule type="duplicateValues" dxfId="0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4713-CBF6-4850-B6E0-00D114E7C14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7"/>
  <sheetViews>
    <sheetView workbookViewId="0">
      <selection activeCell="B9" sqref="B9"/>
    </sheetView>
  </sheetViews>
  <sheetFormatPr defaultColWidth="14.44140625" defaultRowHeight="15" customHeight="1" x14ac:dyDescent="0.3"/>
  <cols>
    <col min="1" max="2" width="31.109375" customWidth="1"/>
    <col min="5" max="5" width="7.5546875" customWidth="1"/>
    <col min="6" max="6" width="4.33203125" customWidth="1"/>
    <col min="7" max="7" width="3.88671875" customWidth="1"/>
    <col min="8" max="8" width="7.6640625" customWidth="1"/>
    <col min="9" max="9" width="13.44140625" customWidth="1"/>
    <col min="10" max="10" width="7.109375" customWidth="1"/>
    <col min="11" max="11" width="9" customWidth="1"/>
    <col min="12" max="12" width="6" customWidth="1"/>
    <col min="13" max="13" width="8" customWidth="1"/>
    <col min="14" max="14" width="12.109375" customWidth="1"/>
    <col min="15" max="15" width="9" customWidth="1"/>
    <col min="16" max="16" width="13.5546875" customWidth="1"/>
    <col min="17" max="17" width="8" customWidth="1"/>
    <col min="18" max="18" width="8.5546875" customWidth="1"/>
    <col min="19" max="19" width="6.5546875" customWidth="1"/>
    <col min="20" max="20" width="10.5546875" customWidth="1"/>
    <col min="21" max="21" width="8" customWidth="1"/>
    <col min="22" max="22" width="11.5546875" customWidth="1"/>
    <col min="23" max="23" width="6.5546875" customWidth="1"/>
  </cols>
  <sheetData>
    <row r="1" spans="1:26" ht="15" customHeight="1" x14ac:dyDescent="0.3">
      <c r="A1" s="37" t="s">
        <v>776</v>
      </c>
      <c r="B1" s="37"/>
      <c r="C1" s="37" t="s">
        <v>777</v>
      </c>
      <c r="D1" s="37" t="s">
        <v>706</v>
      </c>
      <c r="E1" s="37" t="s">
        <v>778</v>
      </c>
      <c r="F1" s="37" t="s">
        <v>709</v>
      </c>
      <c r="G1" s="37" t="s">
        <v>2</v>
      </c>
      <c r="H1" s="37" t="s">
        <v>779</v>
      </c>
      <c r="I1" s="37" t="s">
        <v>780</v>
      </c>
      <c r="J1" s="37" t="s">
        <v>12</v>
      </c>
      <c r="K1" s="37" t="s">
        <v>781</v>
      </c>
      <c r="L1" s="37" t="s">
        <v>14</v>
      </c>
      <c r="M1" s="37" t="s">
        <v>781</v>
      </c>
      <c r="N1" s="37" t="s">
        <v>16</v>
      </c>
      <c r="O1" s="37" t="s">
        <v>781</v>
      </c>
      <c r="P1" s="37" t="s">
        <v>17</v>
      </c>
      <c r="Q1" s="37" t="s">
        <v>781</v>
      </c>
      <c r="R1" s="37" t="s">
        <v>712</v>
      </c>
      <c r="S1" s="37" t="s">
        <v>781</v>
      </c>
      <c r="T1" s="37" t="s">
        <v>19</v>
      </c>
      <c r="U1" s="37" t="s">
        <v>781</v>
      </c>
      <c r="V1" s="37" t="s">
        <v>20</v>
      </c>
      <c r="W1" s="37" t="s">
        <v>781</v>
      </c>
      <c r="X1" s="37" t="s">
        <v>56</v>
      </c>
      <c r="Y1" s="37" t="s">
        <v>5</v>
      </c>
      <c r="Z1" s="37" t="s">
        <v>782</v>
      </c>
    </row>
    <row r="2" spans="1:26" ht="15" customHeight="1" x14ac:dyDescent="0.3">
      <c r="A2" s="38" t="s">
        <v>783</v>
      </c>
      <c r="B2" s="38"/>
      <c r="C2" s="38" t="s">
        <v>784</v>
      </c>
      <c r="D2" s="39">
        <v>44887</v>
      </c>
      <c r="E2" s="38" t="s">
        <v>590</v>
      </c>
      <c r="F2" s="38">
        <v>18</v>
      </c>
      <c r="G2" s="38" t="s">
        <v>36</v>
      </c>
      <c r="H2" s="38">
        <v>48</v>
      </c>
      <c r="I2" s="38">
        <v>37.200000000000003</v>
      </c>
      <c r="J2" s="38" t="s">
        <v>41</v>
      </c>
      <c r="K2" s="40"/>
      <c r="L2" s="38" t="s">
        <v>41</v>
      </c>
      <c r="M2" s="40"/>
      <c r="N2" s="38" t="s">
        <v>41</v>
      </c>
      <c r="O2" s="40"/>
      <c r="P2" s="38" t="s">
        <v>41</v>
      </c>
      <c r="Q2" s="40"/>
      <c r="R2" s="38" t="s">
        <v>41</v>
      </c>
      <c r="S2" s="40"/>
      <c r="T2" s="38" t="s">
        <v>41</v>
      </c>
      <c r="U2" s="40"/>
      <c r="V2" s="38" t="s">
        <v>41</v>
      </c>
      <c r="W2" s="40"/>
      <c r="X2" s="38"/>
      <c r="Y2" s="38" t="s">
        <v>68</v>
      </c>
      <c r="Z2" s="40"/>
    </row>
    <row r="3" spans="1:26" ht="15" customHeight="1" x14ac:dyDescent="0.3">
      <c r="A3" s="38" t="s">
        <v>785</v>
      </c>
      <c r="B3" s="38"/>
      <c r="C3" s="38" t="s">
        <v>784</v>
      </c>
      <c r="D3" s="38" t="s">
        <v>188</v>
      </c>
      <c r="E3" s="38" t="s">
        <v>786</v>
      </c>
      <c r="F3" s="38">
        <v>18</v>
      </c>
      <c r="G3" s="38" t="s">
        <v>36</v>
      </c>
      <c r="H3" s="38">
        <v>58</v>
      </c>
      <c r="I3" s="38">
        <v>37.5</v>
      </c>
      <c r="J3" s="38" t="s">
        <v>41</v>
      </c>
      <c r="K3" s="40"/>
      <c r="L3" s="38" t="s">
        <v>41</v>
      </c>
      <c r="M3" s="40"/>
      <c r="N3" s="38" t="s">
        <v>41</v>
      </c>
      <c r="O3" s="40"/>
      <c r="P3" s="38" t="s">
        <v>41</v>
      </c>
      <c r="Q3" s="40"/>
      <c r="R3" s="38" t="s">
        <v>41</v>
      </c>
      <c r="S3" s="40"/>
      <c r="T3" s="38" t="s">
        <v>41</v>
      </c>
      <c r="U3" s="40"/>
      <c r="V3" s="38" t="s">
        <v>41</v>
      </c>
      <c r="W3" s="40"/>
      <c r="X3" s="38"/>
      <c r="Y3" s="38" t="s">
        <v>68</v>
      </c>
      <c r="Z3" s="40"/>
    </row>
    <row r="4" spans="1:26" ht="15" customHeight="1" x14ac:dyDescent="0.3">
      <c r="A4" s="38" t="s">
        <v>787</v>
      </c>
      <c r="B4" s="38"/>
      <c r="C4" s="38" t="s">
        <v>784</v>
      </c>
      <c r="D4" s="39">
        <v>44887</v>
      </c>
      <c r="E4" s="38" t="s">
        <v>788</v>
      </c>
      <c r="F4" s="38">
        <v>18</v>
      </c>
      <c r="G4" s="38" t="s">
        <v>36</v>
      </c>
      <c r="H4" s="38">
        <v>51</v>
      </c>
      <c r="I4" s="38">
        <v>36.799999999999997</v>
      </c>
      <c r="J4" s="38" t="s">
        <v>41</v>
      </c>
      <c r="K4" s="40"/>
      <c r="L4" s="38" t="s">
        <v>41</v>
      </c>
      <c r="M4" s="40"/>
      <c r="N4" s="38" t="s">
        <v>41</v>
      </c>
      <c r="O4" s="40"/>
      <c r="P4" s="38" t="s">
        <v>41</v>
      </c>
      <c r="Q4" s="40"/>
      <c r="R4" s="38" t="s">
        <v>41</v>
      </c>
      <c r="S4" s="40"/>
      <c r="T4" s="38" t="s">
        <v>41</v>
      </c>
      <c r="U4" s="40"/>
      <c r="V4" s="38" t="s">
        <v>41</v>
      </c>
      <c r="W4" s="40"/>
      <c r="X4" s="38"/>
      <c r="Y4" s="38" t="s">
        <v>68</v>
      </c>
      <c r="Z4" s="40"/>
    </row>
    <row r="5" spans="1:26" ht="15" customHeight="1" x14ac:dyDescent="0.3">
      <c r="A5" s="38" t="s">
        <v>789</v>
      </c>
      <c r="B5" s="38"/>
      <c r="C5" s="38" t="s">
        <v>784</v>
      </c>
      <c r="D5" s="39">
        <v>44875</v>
      </c>
      <c r="E5" s="38" t="s">
        <v>520</v>
      </c>
      <c r="F5" s="38">
        <v>30</v>
      </c>
      <c r="G5" s="38" t="s">
        <v>87</v>
      </c>
      <c r="H5" s="38">
        <v>41</v>
      </c>
      <c r="I5" s="38">
        <v>36.700000000000003</v>
      </c>
      <c r="J5" s="38" t="s">
        <v>41</v>
      </c>
      <c r="K5" s="40"/>
      <c r="L5" s="38" t="s">
        <v>41</v>
      </c>
      <c r="M5" s="40"/>
      <c r="N5" s="38" t="s">
        <v>41</v>
      </c>
      <c r="O5" s="40"/>
      <c r="P5" s="38" t="s">
        <v>41</v>
      </c>
      <c r="Q5" s="40"/>
      <c r="R5" s="38" t="s">
        <v>41</v>
      </c>
      <c r="S5" s="40"/>
      <c r="T5" s="38" t="s">
        <v>41</v>
      </c>
      <c r="U5" s="40"/>
      <c r="V5" s="38" t="s">
        <v>41</v>
      </c>
      <c r="W5" s="40"/>
      <c r="X5" s="38" t="s">
        <v>790</v>
      </c>
      <c r="Y5" s="38" t="s">
        <v>68</v>
      </c>
      <c r="Z5" s="40"/>
    </row>
    <row r="6" spans="1:26" ht="15" customHeight="1" x14ac:dyDescent="0.3">
      <c r="A6" s="38" t="s">
        <v>791</v>
      </c>
      <c r="B6" s="38"/>
      <c r="C6" s="38" t="s">
        <v>784</v>
      </c>
      <c r="D6" s="41">
        <v>44887</v>
      </c>
      <c r="E6" s="38" t="s">
        <v>792</v>
      </c>
      <c r="F6" s="38">
        <v>19</v>
      </c>
      <c r="G6" s="38" t="s">
        <v>36</v>
      </c>
      <c r="H6" s="38">
        <v>50</v>
      </c>
      <c r="I6" s="38">
        <v>36.799999999999997</v>
      </c>
      <c r="J6" s="38" t="s">
        <v>41</v>
      </c>
      <c r="K6" s="40"/>
      <c r="L6" s="38" t="s">
        <v>41</v>
      </c>
      <c r="M6" s="40"/>
      <c r="N6" s="38" t="s">
        <v>41</v>
      </c>
      <c r="O6" s="40"/>
      <c r="P6" s="38" t="s">
        <v>41</v>
      </c>
      <c r="Q6" s="40"/>
      <c r="R6" s="38" t="s">
        <v>41</v>
      </c>
      <c r="S6" s="40"/>
      <c r="T6" s="38" t="s">
        <v>41</v>
      </c>
      <c r="U6" s="40"/>
      <c r="V6" s="38" t="s">
        <v>41</v>
      </c>
      <c r="W6" s="40"/>
      <c r="X6" s="38" t="s">
        <v>41</v>
      </c>
      <c r="Y6" s="38" t="s">
        <v>68</v>
      </c>
      <c r="Z6" s="40"/>
    </row>
    <row r="7" spans="1:26" ht="15" customHeight="1" x14ac:dyDescent="0.3">
      <c r="A7" s="38" t="s">
        <v>793</v>
      </c>
      <c r="B7" s="38"/>
      <c r="C7" s="38" t="s">
        <v>784</v>
      </c>
      <c r="D7" s="39">
        <v>44583</v>
      </c>
      <c r="E7" s="38" t="s">
        <v>651</v>
      </c>
      <c r="F7" s="38">
        <v>18</v>
      </c>
      <c r="G7" s="38" t="s">
        <v>36</v>
      </c>
      <c r="H7" s="38">
        <v>50</v>
      </c>
      <c r="I7" s="38">
        <v>37</v>
      </c>
      <c r="J7" s="38" t="s">
        <v>41</v>
      </c>
      <c r="K7" s="40"/>
      <c r="L7" s="38" t="s">
        <v>41</v>
      </c>
      <c r="M7" s="40"/>
      <c r="N7" s="38" t="s">
        <v>41</v>
      </c>
      <c r="O7" s="40"/>
      <c r="P7" s="38" t="s">
        <v>41</v>
      </c>
      <c r="Q7" s="40"/>
      <c r="R7" s="38" t="s">
        <v>41</v>
      </c>
      <c r="S7" s="40"/>
      <c r="T7" s="38" t="s">
        <v>41</v>
      </c>
      <c r="U7" s="40"/>
      <c r="V7" s="38" t="s">
        <v>41</v>
      </c>
      <c r="W7" s="40"/>
      <c r="X7" s="38" t="s">
        <v>41</v>
      </c>
      <c r="Y7" s="38" t="s">
        <v>68</v>
      </c>
      <c r="Z7" s="40"/>
    </row>
    <row r="8" spans="1:26" ht="15" customHeight="1" x14ac:dyDescent="0.3">
      <c r="A8" s="38" t="s">
        <v>794</v>
      </c>
      <c r="B8" s="38"/>
      <c r="C8" s="38" t="s">
        <v>784</v>
      </c>
      <c r="D8" s="39">
        <v>44887</v>
      </c>
      <c r="E8" s="38" t="s">
        <v>795</v>
      </c>
      <c r="F8" s="38">
        <v>20</v>
      </c>
      <c r="G8" s="38" t="s">
        <v>36</v>
      </c>
      <c r="H8" s="38">
        <v>58</v>
      </c>
      <c r="I8" s="38">
        <v>37</v>
      </c>
      <c r="J8" s="38" t="s">
        <v>41</v>
      </c>
      <c r="K8" s="40"/>
      <c r="L8" s="38" t="s">
        <v>41</v>
      </c>
      <c r="M8" s="40"/>
      <c r="N8" s="38" t="s">
        <v>41</v>
      </c>
      <c r="O8" s="40"/>
      <c r="P8" s="38" t="s">
        <v>41</v>
      </c>
      <c r="Q8" s="40"/>
      <c r="R8" s="38" t="s">
        <v>41</v>
      </c>
      <c r="S8" s="40"/>
      <c r="T8" s="38" t="s">
        <v>41</v>
      </c>
      <c r="U8" s="40"/>
      <c r="V8" s="38" t="s">
        <v>41</v>
      </c>
      <c r="W8" s="40"/>
      <c r="X8" s="38" t="s">
        <v>41</v>
      </c>
      <c r="Y8" s="38" t="s">
        <v>68</v>
      </c>
      <c r="Z8" s="40"/>
    </row>
    <row r="9" spans="1:26" ht="15" customHeight="1" x14ac:dyDescent="0.3">
      <c r="A9" s="38" t="s">
        <v>796</v>
      </c>
      <c r="B9" s="38" t="str">
        <f>MID(A2, 4, LEN(A2)-3) &amp; "-" &amp; LEFT(A2, 2)</f>
        <v>-099-KSY/001-MT</v>
      </c>
      <c r="C9" s="38" t="s">
        <v>797</v>
      </c>
      <c r="D9" s="39">
        <v>44853</v>
      </c>
      <c r="E9" s="38" t="s">
        <v>411</v>
      </c>
      <c r="F9" s="38">
        <v>28</v>
      </c>
      <c r="G9" s="38" t="s">
        <v>87</v>
      </c>
      <c r="H9" s="38">
        <v>52</v>
      </c>
      <c r="I9" s="38">
        <v>36</v>
      </c>
      <c r="J9" s="38" t="s">
        <v>41</v>
      </c>
      <c r="K9" s="40"/>
      <c r="L9" s="38" t="s">
        <v>41</v>
      </c>
      <c r="M9" s="40"/>
      <c r="N9" s="38" t="s">
        <v>41</v>
      </c>
      <c r="O9" s="40"/>
      <c r="P9" s="38" t="s">
        <v>41</v>
      </c>
      <c r="Q9" s="40"/>
      <c r="R9" s="38" t="s">
        <v>41</v>
      </c>
      <c r="S9" s="40"/>
      <c r="T9" s="38" t="s">
        <v>41</v>
      </c>
      <c r="U9" s="40"/>
      <c r="V9" s="38" t="s">
        <v>41</v>
      </c>
      <c r="W9" s="40"/>
      <c r="X9" s="38" t="s">
        <v>41</v>
      </c>
      <c r="Y9" s="38" t="s">
        <v>68</v>
      </c>
      <c r="Z9" s="40"/>
    </row>
    <row r="10" spans="1:26" ht="15" customHeight="1" x14ac:dyDescent="0.3">
      <c r="A10" s="38" t="s">
        <v>798</v>
      </c>
      <c r="B10" s="38"/>
      <c r="C10" s="38" t="s">
        <v>797</v>
      </c>
      <c r="D10" s="39">
        <v>44853</v>
      </c>
      <c r="E10" s="38" t="s">
        <v>578</v>
      </c>
      <c r="F10" s="38">
        <v>47</v>
      </c>
      <c r="G10" s="38" t="s">
        <v>36</v>
      </c>
      <c r="H10" s="38">
        <v>91</v>
      </c>
      <c r="I10" s="38">
        <v>37</v>
      </c>
      <c r="J10" s="38" t="s">
        <v>41</v>
      </c>
      <c r="K10" s="40"/>
      <c r="L10" s="38" t="s">
        <v>41</v>
      </c>
      <c r="M10" s="40"/>
      <c r="N10" s="38" t="s">
        <v>41</v>
      </c>
      <c r="O10" s="40"/>
      <c r="P10" s="38" t="s">
        <v>41</v>
      </c>
      <c r="Q10" s="40"/>
      <c r="R10" s="38" t="s">
        <v>41</v>
      </c>
      <c r="S10" s="40"/>
      <c r="T10" s="38" t="s">
        <v>41</v>
      </c>
      <c r="U10" s="40"/>
      <c r="V10" s="38" t="s">
        <v>41</v>
      </c>
      <c r="W10" s="40"/>
      <c r="X10" s="38" t="s">
        <v>41</v>
      </c>
      <c r="Y10" s="38" t="s">
        <v>68</v>
      </c>
      <c r="Z10" s="40"/>
    </row>
    <row r="11" spans="1:26" ht="15" customHeight="1" x14ac:dyDescent="0.3">
      <c r="A11" s="38" t="s">
        <v>799</v>
      </c>
      <c r="B11" s="38"/>
      <c r="C11" s="38" t="s">
        <v>797</v>
      </c>
      <c r="D11" s="39">
        <v>44853</v>
      </c>
      <c r="E11" s="38" t="s">
        <v>800</v>
      </c>
      <c r="F11" s="38">
        <v>39</v>
      </c>
      <c r="G11" s="38" t="s">
        <v>87</v>
      </c>
      <c r="H11" s="38">
        <v>73</v>
      </c>
      <c r="I11" s="38">
        <v>37</v>
      </c>
      <c r="J11" s="38" t="s">
        <v>41</v>
      </c>
      <c r="K11" s="40"/>
      <c r="L11" s="38" t="s">
        <v>41</v>
      </c>
      <c r="M11" s="40"/>
      <c r="N11" s="38" t="s">
        <v>41</v>
      </c>
      <c r="O11" s="40"/>
      <c r="P11" s="38" t="s">
        <v>41</v>
      </c>
      <c r="Q11" s="40"/>
      <c r="R11" s="38" t="s">
        <v>41</v>
      </c>
      <c r="S11" s="40"/>
      <c r="T11" s="38" t="s">
        <v>41</v>
      </c>
      <c r="U11" s="40"/>
      <c r="V11" s="38" t="s">
        <v>41</v>
      </c>
      <c r="W11" s="40"/>
      <c r="X11" s="38" t="s">
        <v>41</v>
      </c>
      <c r="Y11" s="38" t="s">
        <v>68</v>
      </c>
      <c r="Z11" s="40"/>
    </row>
    <row r="12" spans="1:26" ht="15" customHeight="1" x14ac:dyDescent="0.3">
      <c r="A12" s="38" t="s">
        <v>801</v>
      </c>
      <c r="B12" s="38"/>
      <c r="C12" s="38" t="s">
        <v>797</v>
      </c>
      <c r="D12" s="39">
        <v>44853</v>
      </c>
      <c r="E12" s="38" t="s">
        <v>426</v>
      </c>
      <c r="F12" s="38">
        <v>20</v>
      </c>
      <c r="G12" s="38" t="s">
        <v>87</v>
      </c>
      <c r="H12" s="38">
        <v>56</v>
      </c>
      <c r="I12" s="38">
        <v>37</v>
      </c>
      <c r="J12" s="38" t="s">
        <v>41</v>
      </c>
      <c r="K12" s="40"/>
      <c r="L12" s="38" t="s">
        <v>41</v>
      </c>
      <c r="M12" s="40"/>
      <c r="N12" s="38" t="s">
        <v>41</v>
      </c>
      <c r="O12" s="40"/>
      <c r="P12" s="38" t="s">
        <v>41</v>
      </c>
      <c r="Q12" s="40"/>
      <c r="R12" s="38" t="s">
        <v>41</v>
      </c>
      <c r="S12" s="40"/>
      <c r="T12" s="38" t="s">
        <v>41</v>
      </c>
      <c r="U12" s="40"/>
      <c r="V12" s="38" t="s">
        <v>41</v>
      </c>
      <c r="W12" s="40"/>
      <c r="X12" s="38" t="s">
        <v>41</v>
      </c>
      <c r="Y12" s="38" t="s">
        <v>68</v>
      </c>
      <c r="Z12" s="40"/>
    </row>
    <row r="13" spans="1:26" ht="15" customHeight="1" x14ac:dyDescent="0.3">
      <c r="A13" s="38" t="s">
        <v>802</v>
      </c>
      <c r="B13" s="38"/>
      <c r="C13" s="38" t="s">
        <v>797</v>
      </c>
      <c r="D13" s="39">
        <v>44844</v>
      </c>
      <c r="E13" s="38" t="s">
        <v>700</v>
      </c>
      <c r="F13" s="38">
        <v>29</v>
      </c>
      <c r="G13" s="38" t="s">
        <v>36</v>
      </c>
      <c r="H13" s="38">
        <v>72</v>
      </c>
      <c r="I13" s="38">
        <v>36</v>
      </c>
      <c r="J13" s="38" t="s">
        <v>41</v>
      </c>
      <c r="K13" s="40"/>
      <c r="L13" s="38" t="s">
        <v>41</v>
      </c>
      <c r="M13" s="40"/>
      <c r="N13" s="38" t="s">
        <v>41</v>
      </c>
      <c r="O13" s="40"/>
      <c r="P13" s="38" t="s">
        <v>41</v>
      </c>
      <c r="Q13" s="40"/>
      <c r="R13" s="38" t="s">
        <v>41</v>
      </c>
      <c r="S13" s="40"/>
      <c r="T13" s="38" t="s">
        <v>41</v>
      </c>
      <c r="U13" s="40"/>
      <c r="V13" s="38" t="s">
        <v>41</v>
      </c>
      <c r="W13" s="40"/>
      <c r="X13" s="38" t="s">
        <v>41</v>
      </c>
      <c r="Y13" s="38" t="s">
        <v>68</v>
      </c>
      <c r="Z13" s="40"/>
    </row>
    <row r="14" spans="1:26" ht="15" customHeight="1" x14ac:dyDescent="0.3">
      <c r="A14" s="38" t="s">
        <v>803</v>
      </c>
      <c r="B14" s="38"/>
      <c r="C14" s="38" t="s">
        <v>797</v>
      </c>
      <c r="D14" s="39">
        <v>44643</v>
      </c>
      <c r="E14" s="38" t="s">
        <v>685</v>
      </c>
      <c r="F14" s="38">
        <v>28</v>
      </c>
      <c r="G14" s="38" t="s">
        <v>36</v>
      </c>
      <c r="H14" s="38">
        <v>70</v>
      </c>
      <c r="I14" s="38">
        <v>37</v>
      </c>
      <c r="J14" s="38" t="s">
        <v>41</v>
      </c>
      <c r="K14" s="40"/>
      <c r="L14" s="38" t="s">
        <v>41</v>
      </c>
      <c r="M14" s="40"/>
      <c r="N14" s="38" t="s">
        <v>41</v>
      </c>
      <c r="O14" s="40"/>
      <c r="P14" s="38" t="s">
        <v>41</v>
      </c>
      <c r="Q14" s="40"/>
      <c r="R14" s="38" t="s">
        <v>41</v>
      </c>
      <c r="S14" s="40"/>
      <c r="T14" s="38" t="s">
        <v>41</v>
      </c>
      <c r="U14" s="40"/>
      <c r="V14" s="38" t="s">
        <v>41</v>
      </c>
      <c r="W14" s="40"/>
      <c r="X14" s="38" t="s">
        <v>804</v>
      </c>
      <c r="Y14" s="38" t="s">
        <v>68</v>
      </c>
      <c r="Z14" s="40"/>
    </row>
    <row r="15" spans="1:26" ht="15" customHeight="1" x14ac:dyDescent="0.3">
      <c r="A15" s="38" t="s">
        <v>805</v>
      </c>
      <c r="B15" s="38"/>
      <c r="C15" s="38" t="s">
        <v>797</v>
      </c>
      <c r="D15" s="39">
        <v>44622</v>
      </c>
      <c r="E15" s="38" t="s">
        <v>806</v>
      </c>
      <c r="F15" s="38">
        <v>19</v>
      </c>
      <c r="G15" s="38" t="s">
        <v>36</v>
      </c>
      <c r="H15" s="38">
        <v>55</v>
      </c>
      <c r="I15" s="38">
        <v>37</v>
      </c>
      <c r="J15" s="38" t="s">
        <v>41</v>
      </c>
      <c r="K15" s="40"/>
      <c r="L15" s="38" t="s">
        <v>41</v>
      </c>
      <c r="M15" s="40"/>
      <c r="N15" s="38" t="s">
        <v>41</v>
      </c>
      <c r="O15" s="40"/>
      <c r="P15" s="38" t="s">
        <v>41</v>
      </c>
      <c r="Q15" s="40"/>
      <c r="R15" s="38" t="s">
        <v>41</v>
      </c>
      <c r="S15" s="40"/>
      <c r="T15" s="38" t="s">
        <v>41</v>
      </c>
      <c r="U15" s="40"/>
      <c r="V15" s="38" t="s">
        <v>41</v>
      </c>
      <c r="W15" s="40"/>
      <c r="X15" s="38" t="s">
        <v>41</v>
      </c>
      <c r="Y15" s="38" t="s">
        <v>68</v>
      </c>
      <c r="Z15" s="40"/>
    </row>
    <row r="16" spans="1:26" ht="15" customHeight="1" x14ac:dyDescent="0.3">
      <c r="A16" s="38" t="s">
        <v>807</v>
      </c>
      <c r="B16" s="38"/>
      <c r="C16" s="38" t="s">
        <v>797</v>
      </c>
      <c r="D16" s="39">
        <v>44622</v>
      </c>
      <c r="E16" s="38" t="s">
        <v>430</v>
      </c>
      <c r="F16" s="38">
        <v>47</v>
      </c>
      <c r="G16" s="38" t="s">
        <v>87</v>
      </c>
      <c r="H16" s="38">
        <v>74</v>
      </c>
      <c r="I16" s="38">
        <v>37</v>
      </c>
      <c r="J16" s="38" t="s">
        <v>41</v>
      </c>
      <c r="K16" s="40"/>
      <c r="L16" s="38" t="s">
        <v>41</v>
      </c>
      <c r="M16" s="40"/>
      <c r="N16" s="38" t="s">
        <v>41</v>
      </c>
      <c r="O16" s="40"/>
      <c r="P16" s="38" t="s">
        <v>41</v>
      </c>
      <c r="Q16" s="40"/>
      <c r="R16" s="38" t="s">
        <v>41</v>
      </c>
      <c r="S16" s="40"/>
      <c r="T16" s="38" t="s">
        <v>41</v>
      </c>
      <c r="U16" s="40"/>
      <c r="V16" s="38" t="s">
        <v>41</v>
      </c>
      <c r="W16" s="40"/>
      <c r="X16" s="38" t="s">
        <v>41</v>
      </c>
      <c r="Y16" s="38" t="s">
        <v>68</v>
      </c>
      <c r="Z16" s="40"/>
    </row>
    <row r="17" spans="1:26" ht="15" customHeight="1" x14ac:dyDescent="0.3">
      <c r="A17" s="38" t="s">
        <v>808</v>
      </c>
      <c r="B17" s="38"/>
      <c r="C17" s="38" t="s">
        <v>797</v>
      </c>
      <c r="D17" s="39">
        <v>44600</v>
      </c>
      <c r="E17" s="38" t="s">
        <v>742</v>
      </c>
      <c r="F17" s="38">
        <v>28</v>
      </c>
      <c r="G17" s="38" t="s">
        <v>87</v>
      </c>
      <c r="H17" s="38">
        <v>76</v>
      </c>
      <c r="I17" s="38">
        <v>37</v>
      </c>
      <c r="J17" s="38" t="s">
        <v>38</v>
      </c>
      <c r="K17" s="38" t="s">
        <v>52</v>
      </c>
      <c r="L17" s="38" t="s">
        <v>41</v>
      </c>
      <c r="M17" s="40"/>
      <c r="N17" s="38" t="s">
        <v>38</v>
      </c>
      <c r="O17" s="38" t="s">
        <v>65</v>
      </c>
      <c r="P17" s="38" t="s">
        <v>41</v>
      </c>
      <c r="Q17" s="40"/>
      <c r="R17" s="38" t="s">
        <v>41</v>
      </c>
      <c r="S17" s="40"/>
      <c r="T17" s="38" t="s">
        <v>41</v>
      </c>
      <c r="U17" s="40"/>
      <c r="V17" s="38" t="s">
        <v>41</v>
      </c>
      <c r="W17" s="40"/>
      <c r="X17" s="38" t="s">
        <v>41</v>
      </c>
      <c r="Y17" s="38" t="s">
        <v>68</v>
      </c>
      <c r="Z17" s="40"/>
    </row>
    <row r="18" spans="1:26" ht="15" customHeight="1" x14ac:dyDescent="0.3">
      <c r="A18" s="38" t="s">
        <v>809</v>
      </c>
      <c r="B18" s="38"/>
      <c r="C18" s="38" t="s">
        <v>797</v>
      </c>
      <c r="D18" s="39">
        <v>44594</v>
      </c>
      <c r="E18" s="38" t="s">
        <v>426</v>
      </c>
      <c r="F18" s="38">
        <v>53</v>
      </c>
      <c r="G18" s="38" t="s">
        <v>87</v>
      </c>
      <c r="H18" s="38">
        <v>89</v>
      </c>
      <c r="I18" s="38">
        <v>37.1</v>
      </c>
      <c r="J18" s="38" t="s">
        <v>41</v>
      </c>
      <c r="K18" s="40"/>
      <c r="L18" s="38" t="s">
        <v>41</v>
      </c>
      <c r="M18" s="40"/>
      <c r="N18" s="38" t="s">
        <v>41</v>
      </c>
      <c r="O18" s="40"/>
      <c r="P18" s="38" t="s">
        <v>41</v>
      </c>
      <c r="Q18" s="40"/>
      <c r="R18" s="38" t="s">
        <v>41</v>
      </c>
      <c r="S18" s="40"/>
      <c r="T18" s="38" t="s">
        <v>41</v>
      </c>
      <c r="U18" s="40"/>
      <c r="V18" s="38" t="s">
        <v>41</v>
      </c>
      <c r="W18" s="40"/>
      <c r="X18" s="38" t="s">
        <v>41</v>
      </c>
      <c r="Y18" s="38" t="s">
        <v>68</v>
      </c>
      <c r="Z18" s="40"/>
    </row>
    <row r="19" spans="1:26" ht="15" customHeight="1" x14ac:dyDescent="0.3">
      <c r="A19" s="38" t="s">
        <v>809</v>
      </c>
      <c r="B19" s="38"/>
      <c r="C19" s="38" t="s">
        <v>797</v>
      </c>
      <c r="D19" s="39">
        <v>44613</v>
      </c>
      <c r="E19" s="38" t="s">
        <v>810</v>
      </c>
      <c r="F19" s="38">
        <v>28</v>
      </c>
      <c r="G19" s="38" t="s">
        <v>36</v>
      </c>
      <c r="H19" s="38">
        <v>66</v>
      </c>
      <c r="I19" s="38">
        <v>36</v>
      </c>
      <c r="J19" s="38" t="s">
        <v>41</v>
      </c>
      <c r="K19" s="40"/>
      <c r="L19" s="38" t="s">
        <v>41</v>
      </c>
      <c r="M19" s="40"/>
      <c r="N19" s="38" t="s">
        <v>41</v>
      </c>
      <c r="O19" s="40"/>
      <c r="P19" s="38" t="s">
        <v>41</v>
      </c>
      <c r="Q19" s="40"/>
      <c r="R19" s="38" t="s">
        <v>41</v>
      </c>
      <c r="S19" s="40"/>
      <c r="T19" s="38" t="s">
        <v>41</v>
      </c>
      <c r="U19" s="40"/>
      <c r="V19" s="38" t="s">
        <v>41</v>
      </c>
      <c r="W19" s="40"/>
      <c r="X19" s="38" t="s">
        <v>41</v>
      </c>
      <c r="Y19" s="38" t="s">
        <v>68</v>
      </c>
      <c r="Z19" s="40"/>
    </row>
    <row r="20" spans="1:26" ht="15" customHeight="1" x14ac:dyDescent="0.3">
      <c r="A20" s="38" t="s">
        <v>811</v>
      </c>
      <c r="B20" s="38"/>
      <c r="C20" s="38" t="s">
        <v>797</v>
      </c>
      <c r="D20" s="39">
        <v>44571</v>
      </c>
      <c r="E20" s="38" t="s">
        <v>408</v>
      </c>
      <c r="F20" s="38">
        <v>23</v>
      </c>
      <c r="G20" s="38" t="s">
        <v>87</v>
      </c>
      <c r="H20" s="38">
        <v>66</v>
      </c>
      <c r="I20" s="38">
        <v>37</v>
      </c>
      <c r="J20" s="38" t="s">
        <v>38</v>
      </c>
      <c r="K20" s="38" t="s">
        <v>65</v>
      </c>
      <c r="L20" s="38" t="s">
        <v>38</v>
      </c>
      <c r="M20" s="38" t="s">
        <v>65</v>
      </c>
      <c r="N20" s="38" t="s">
        <v>38</v>
      </c>
      <c r="O20" s="38" t="s">
        <v>43</v>
      </c>
      <c r="P20" s="38" t="s">
        <v>38</v>
      </c>
      <c r="Q20" s="38" t="s">
        <v>65</v>
      </c>
      <c r="R20" s="38" t="s">
        <v>41</v>
      </c>
      <c r="S20" s="40"/>
      <c r="T20" s="38" t="s">
        <v>38</v>
      </c>
      <c r="U20" s="38" t="s">
        <v>65</v>
      </c>
      <c r="V20" s="38" t="s">
        <v>41</v>
      </c>
      <c r="W20" s="40"/>
      <c r="X20" s="38" t="s">
        <v>41</v>
      </c>
      <c r="Y20" s="38" t="s">
        <v>68</v>
      </c>
      <c r="Z20" s="40"/>
    </row>
    <row r="21" spans="1:26" ht="15" customHeight="1" x14ac:dyDescent="0.3">
      <c r="A21" s="38" t="s">
        <v>812</v>
      </c>
      <c r="B21" s="38"/>
      <c r="C21" s="38" t="s">
        <v>784</v>
      </c>
      <c r="D21" s="39">
        <v>44875</v>
      </c>
      <c r="E21" s="38" t="s">
        <v>813</v>
      </c>
      <c r="F21" s="38">
        <v>38</v>
      </c>
      <c r="G21" s="38" t="s">
        <v>87</v>
      </c>
      <c r="H21" s="38">
        <v>55</v>
      </c>
      <c r="I21" s="38">
        <v>36.700000000000003</v>
      </c>
      <c r="J21" s="38" t="s">
        <v>41</v>
      </c>
      <c r="K21" s="40"/>
      <c r="L21" s="38" t="s">
        <v>41</v>
      </c>
      <c r="M21" s="40"/>
      <c r="N21" s="38" t="s">
        <v>41</v>
      </c>
      <c r="O21" s="40"/>
      <c r="P21" s="38" t="s">
        <v>41</v>
      </c>
      <c r="Q21" s="40"/>
      <c r="R21" s="38" t="s">
        <v>41</v>
      </c>
      <c r="S21" s="40"/>
      <c r="T21" s="38" t="s">
        <v>41</v>
      </c>
      <c r="U21" s="40"/>
      <c r="V21" s="38" t="s">
        <v>41</v>
      </c>
      <c r="W21" s="40"/>
      <c r="X21" s="38" t="s">
        <v>41</v>
      </c>
      <c r="Y21" s="38" t="s">
        <v>68</v>
      </c>
      <c r="Z21" s="40"/>
    </row>
    <row r="22" spans="1:26" ht="15" customHeight="1" x14ac:dyDescent="0.3">
      <c r="A22" s="38" t="s">
        <v>814</v>
      </c>
      <c r="B22" s="38"/>
      <c r="C22" s="38" t="s">
        <v>784</v>
      </c>
      <c r="D22" s="39">
        <v>44868</v>
      </c>
      <c r="E22" s="38" t="s">
        <v>420</v>
      </c>
      <c r="F22" s="38">
        <v>29</v>
      </c>
      <c r="G22" s="38" t="s">
        <v>36</v>
      </c>
      <c r="H22" s="38">
        <v>60</v>
      </c>
      <c r="I22" s="38" t="s">
        <v>69</v>
      </c>
      <c r="J22" s="38" t="s">
        <v>38</v>
      </c>
      <c r="K22" s="38" t="s">
        <v>52</v>
      </c>
      <c r="L22" s="38" t="s">
        <v>41</v>
      </c>
      <c r="M22" s="40"/>
      <c r="N22" s="38" t="s">
        <v>41</v>
      </c>
      <c r="O22" s="40"/>
      <c r="P22" s="38" t="s">
        <v>41</v>
      </c>
      <c r="Q22" s="40"/>
      <c r="R22" s="38" t="s">
        <v>41</v>
      </c>
      <c r="S22" s="40"/>
      <c r="T22" s="38" t="s">
        <v>41</v>
      </c>
      <c r="U22" s="40"/>
      <c r="V22" s="38" t="s">
        <v>41</v>
      </c>
      <c r="W22" s="40"/>
      <c r="X22" s="38" t="s">
        <v>41</v>
      </c>
      <c r="Y22" s="38" t="s">
        <v>68</v>
      </c>
      <c r="Z22" s="40"/>
    </row>
    <row r="23" spans="1:26" ht="15" customHeight="1" x14ac:dyDescent="0.3">
      <c r="A23" s="38" t="s">
        <v>815</v>
      </c>
      <c r="B23" s="38"/>
      <c r="C23" s="38" t="s">
        <v>784</v>
      </c>
      <c r="D23" s="39">
        <v>44868</v>
      </c>
      <c r="E23" s="38" t="s">
        <v>816</v>
      </c>
      <c r="F23" s="38">
        <v>30</v>
      </c>
      <c r="G23" s="38" t="s">
        <v>87</v>
      </c>
      <c r="H23" s="38">
        <v>30</v>
      </c>
      <c r="I23" s="38">
        <v>37.299999999999997</v>
      </c>
      <c r="J23" s="38" t="s">
        <v>41</v>
      </c>
      <c r="K23" s="40"/>
      <c r="L23" s="38" t="s">
        <v>41</v>
      </c>
      <c r="M23" s="40"/>
      <c r="N23" s="38" t="s">
        <v>41</v>
      </c>
      <c r="O23" s="40"/>
      <c r="P23" s="38" t="s">
        <v>41</v>
      </c>
      <c r="Q23" s="40"/>
      <c r="R23" s="38" t="s">
        <v>41</v>
      </c>
      <c r="S23" s="40"/>
      <c r="T23" s="38" t="s">
        <v>41</v>
      </c>
      <c r="U23" s="40"/>
      <c r="V23" s="38" t="s">
        <v>41</v>
      </c>
      <c r="W23" s="40"/>
      <c r="X23" s="38" t="s">
        <v>41</v>
      </c>
      <c r="Y23" s="38" t="s">
        <v>68</v>
      </c>
      <c r="Z23" s="40"/>
    </row>
    <row r="24" spans="1:26" ht="15" customHeight="1" x14ac:dyDescent="0.3">
      <c r="A24" s="38" t="s">
        <v>817</v>
      </c>
      <c r="B24" s="38"/>
      <c r="C24" s="38" t="s">
        <v>784</v>
      </c>
      <c r="D24" s="39">
        <v>44868</v>
      </c>
      <c r="E24" s="38" t="s">
        <v>818</v>
      </c>
      <c r="F24" s="38">
        <v>22</v>
      </c>
      <c r="G24" s="38" t="s">
        <v>87</v>
      </c>
      <c r="H24" s="38">
        <v>45</v>
      </c>
      <c r="I24" s="38" t="s">
        <v>69</v>
      </c>
      <c r="J24" s="38" t="s">
        <v>41</v>
      </c>
      <c r="K24" s="40"/>
      <c r="L24" s="38" t="s">
        <v>41</v>
      </c>
      <c r="M24" s="40"/>
      <c r="N24" s="38" t="s">
        <v>41</v>
      </c>
      <c r="O24" s="40"/>
      <c r="P24" s="38" t="s">
        <v>41</v>
      </c>
      <c r="Q24" s="40"/>
      <c r="R24" s="38" t="s">
        <v>41</v>
      </c>
      <c r="S24" s="40"/>
      <c r="T24" s="38" t="s">
        <v>41</v>
      </c>
      <c r="U24" s="40"/>
      <c r="V24" s="38" t="s">
        <v>41</v>
      </c>
      <c r="W24" s="40"/>
      <c r="X24" s="38" t="s">
        <v>41</v>
      </c>
      <c r="Y24" s="38" t="s">
        <v>68</v>
      </c>
      <c r="Z24" s="40"/>
    </row>
    <row r="25" spans="1:26" ht="15" customHeight="1" x14ac:dyDescent="0.3">
      <c r="A25" s="38" t="s">
        <v>819</v>
      </c>
      <c r="B25" s="38"/>
      <c r="C25" s="38" t="s">
        <v>784</v>
      </c>
      <c r="D25" s="39">
        <v>44887</v>
      </c>
      <c r="E25" s="38" t="s">
        <v>651</v>
      </c>
      <c r="F25" s="38">
        <v>22</v>
      </c>
      <c r="G25" s="38" t="s">
        <v>36</v>
      </c>
      <c r="H25" s="38">
        <v>60</v>
      </c>
      <c r="I25" s="38">
        <v>37.200000000000003</v>
      </c>
      <c r="J25" s="38" t="s">
        <v>41</v>
      </c>
      <c r="K25" s="40"/>
      <c r="L25" s="38" t="s">
        <v>41</v>
      </c>
      <c r="M25" s="40"/>
      <c r="N25" s="38" t="s">
        <v>41</v>
      </c>
      <c r="O25" s="40"/>
      <c r="P25" s="38" t="s">
        <v>41</v>
      </c>
      <c r="Q25" s="40"/>
      <c r="R25" s="38" t="s">
        <v>41</v>
      </c>
      <c r="S25" s="40"/>
      <c r="T25" s="38" t="s">
        <v>41</v>
      </c>
      <c r="U25" s="40"/>
      <c r="V25" s="38" t="s">
        <v>41</v>
      </c>
      <c r="W25" s="40"/>
      <c r="X25" s="38" t="s">
        <v>41</v>
      </c>
      <c r="Y25" s="38" t="s">
        <v>69</v>
      </c>
      <c r="Z25" s="40"/>
    </row>
    <row r="26" spans="1:26" ht="15" customHeight="1" x14ac:dyDescent="0.3">
      <c r="A26" s="38" t="s">
        <v>820</v>
      </c>
      <c r="B26" s="38"/>
      <c r="C26" s="38" t="s">
        <v>784</v>
      </c>
      <c r="D26" s="39">
        <v>44868</v>
      </c>
      <c r="E26" s="38" t="s">
        <v>418</v>
      </c>
      <c r="F26" s="38">
        <v>27</v>
      </c>
      <c r="G26" s="38" t="s">
        <v>36</v>
      </c>
      <c r="H26" s="38" t="s">
        <v>69</v>
      </c>
      <c r="I26" s="38" t="s">
        <v>69</v>
      </c>
      <c r="J26" s="38" t="s">
        <v>41</v>
      </c>
      <c r="K26" s="40"/>
      <c r="L26" s="38" t="s">
        <v>41</v>
      </c>
      <c r="M26" s="40"/>
      <c r="N26" s="38" t="s">
        <v>41</v>
      </c>
      <c r="O26" s="40"/>
      <c r="P26" s="38" t="s">
        <v>41</v>
      </c>
      <c r="Q26" s="40"/>
      <c r="R26" s="38" t="s">
        <v>41</v>
      </c>
      <c r="S26" s="40"/>
      <c r="T26" s="38" t="s">
        <v>41</v>
      </c>
      <c r="U26" s="40"/>
      <c r="V26" s="38" t="s">
        <v>41</v>
      </c>
      <c r="W26" s="40"/>
      <c r="X26" s="38" t="s">
        <v>41</v>
      </c>
      <c r="Y26" s="38" t="s">
        <v>68</v>
      </c>
      <c r="Z26" s="40"/>
    </row>
    <row r="27" spans="1:26" ht="15" customHeight="1" x14ac:dyDescent="0.3">
      <c r="A27" s="38" t="s">
        <v>821</v>
      </c>
      <c r="B27" s="38"/>
      <c r="C27" s="38" t="s">
        <v>784</v>
      </c>
      <c r="D27" s="39">
        <v>44868</v>
      </c>
      <c r="E27" s="38" t="s">
        <v>520</v>
      </c>
      <c r="F27" s="38">
        <v>38</v>
      </c>
      <c r="G27" s="38" t="s">
        <v>36</v>
      </c>
      <c r="H27" s="38" t="s">
        <v>69</v>
      </c>
      <c r="I27" s="38" t="s">
        <v>69</v>
      </c>
      <c r="J27" s="38" t="s">
        <v>38</v>
      </c>
      <c r="K27" s="38" t="s">
        <v>52</v>
      </c>
      <c r="L27" s="38" t="s">
        <v>41</v>
      </c>
      <c r="M27" s="40"/>
      <c r="N27" s="38" t="s">
        <v>41</v>
      </c>
      <c r="O27" s="40"/>
      <c r="P27" s="38" t="s">
        <v>41</v>
      </c>
      <c r="Q27" s="40"/>
      <c r="R27" s="38" t="s">
        <v>41</v>
      </c>
      <c r="S27" s="40"/>
      <c r="T27" s="38" t="s">
        <v>41</v>
      </c>
      <c r="U27" s="40"/>
      <c r="V27" s="38" t="s">
        <v>41</v>
      </c>
      <c r="W27" s="40"/>
      <c r="X27" s="38" t="s">
        <v>41</v>
      </c>
      <c r="Y27" s="38" t="s">
        <v>68</v>
      </c>
      <c r="Z27" s="40"/>
    </row>
    <row r="28" spans="1:26" ht="15" customHeight="1" x14ac:dyDescent="0.3">
      <c r="A28" s="38" t="s">
        <v>822</v>
      </c>
      <c r="B28" s="38"/>
      <c r="C28" s="38" t="s">
        <v>784</v>
      </c>
      <c r="D28" s="39">
        <v>44861</v>
      </c>
      <c r="E28" s="38" t="s">
        <v>762</v>
      </c>
      <c r="F28" s="38">
        <v>36</v>
      </c>
      <c r="G28" s="38" t="s">
        <v>36</v>
      </c>
      <c r="H28" s="38">
        <v>60</v>
      </c>
      <c r="I28" s="38">
        <v>37.200000000000003</v>
      </c>
      <c r="J28" s="38" t="s">
        <v>41</v>
      </c>
      <c r="K28" s="40"/>
      <c r="L28" s="38" t="s">
        <v>41</v>
      </c>
      <c r="M28" s="40"/>
      <c r="N28" s="38" t="s">
        <v>41</v>
      </c>
      <c r="O28" s="40"/>
      <c r="P28" s="38" t="s">
        <v>41</v>
      </c>
      <c r="Q28" s="40"/>
      <c r="R28" s="38" t="s">
        <v>41</v>
      </c>
      <c r="S28" s="40"/>
      <c r="T28" s="38" t="s">
        <v>41</v>
      </c>
      <c r="U28" s="40"/>
      <c r="V28" s="38" t="s">
        <v>41</v>
      </c>
      <c r="W28" s="40"/>
      <c r="X28" s="38" t="s">
        <v>41</v>
      </c>
      <c r="Y28" s="38" t="s">
        <v>68</v>
      </c>
      <c r="Z28" s="40"/>
    </row>
    <row r="29" spans="1:26" ht="15" customHeight="1" x14ac:dyDescent="0.3">
      <c r="A29" s="38" t="s">
        <v>823</v>
      </c>
      <c r="B29" s="38"/>
      <c r="C29" s="38" t="s">
        <v>784</v>
      </c>
      <c r="D29" s="39">
        <v>44861</v>
      </c>
      <c r="E29" s="38" t="s">
        <v>426</v>
      </c>
      <c r="F29" s="38">
        <v>42</v>
      </c>
      <c r="G29" s="38" t="s">
        <v>36</v>
      </c>
      <c r="H29" s="38">
        <v>60</v>
      </c>
      <c r="I29" s="38">
        <v>36.700000000000003</v>
      </c>
      <c r="J29" s="38" t="s">
        <v>41</v>
      </c>
      <c r="K29" s="40"/>
      <c r="L29" s="38" t="s">
        <v>41</v>
      </c>
      <c r="M29" s="40"/>
      <c r="N29" s="38" t="s">
        <v>41</v>
      </c>
      <c r="O29" s="40"/>
      <c r="P29" s="38" t="s">
        <v>41</v>
      </c>
      <c r="Q29" s="40"/>
      <c r="R29" s="38" t="s">
        <v>41</v>
      </c>
      <c r="S29" s="40"/>
      <c r="T29" s="38" t="s">
        <v>41</v>
      </c>
      <c r="U29" s="40"/>
      <c r="V29" s="38" t="s">
        <v>41</v>
      </c>
      <c r="W29" s="40"/>
      <c r="X29" s="38" t="s">
        <v>41</v>
      </c>
      <c r="Y29" s="38" t="s">
        <v>68</v>
      </c>
      <c r="Z29" s="40"/>
    </row>
    <row r="30" spans="1:26" ht="15" customHeight="1" x14ac:dyDescent="0.3">
      <c r="A30" s="38" t="s">
        <v>824</v>
      </c>
      <c r="B30" s="38"/>
      <c r="C30" s="38" t="s">
        <v>784</v>
      </c>
      <c r="D30" s="39">
        <v>44861</v>
      </c>
      <c r="E30" s="38" t="s">
        <v>738</v>
      </c>
      <c r="F30" s="38">
        <v>20</v>
      </c>
      <c r="G30" s="38" t="s">
        <v>36</v>
      </c>
      <c r="H30" s="38">
        <v>60</v>
      </c>
      <c r="I30" s="38">
        <v>36.700000000000003</v>
      </c>
      <c r="J30" s="38" t="s">
        <v>41</v>
      </c>
      <c r="K30" s="40"/>
      <c r="L30" s="38" t="s">
        <v>41</v>
      </c>
      <c r="M30" s="40"/>
      <c r="N30" s="38" t="s">
        <v>41</v>
      </c>
      <c r="O30" s="40"/>
      <c r="P30" s="38" t="s">
        <v>41</v>
      </c>
      <c r="Q30" s="40"/>
      <c r="R30" s="38" t="s">
        <v>41</v>
      </c>
      <c r="S30" s="40"/>
      <c r="T30" s="38" t="s">
        <v>41</v>
      </c>
      <c r="U30" s="40"/>
      <c r="V30" s="38" t="s">
        <v>41</v>
      </c>
      <c r="W30" s="40"/>
      <c r="X30" s="38" t="s">
        <v>41</v>
      </c>
      <c r="Y30" s="38" t="s">
        <v>68</v>
      </c>
      <c r="Z30" s="40"/>
    </row>
    <row r="31" spans="1:26" ht="15" customHeight="1" x14ac:dyDescent="0.3">
      <c r="A31" s="38" t="s">
        <v>825</v>
      </c>
      <c r="B31" s="38"/>
      <c r="C31" s="38" t="s">
        <v>784</v>
      </c>
      <c r="D31" s="39">
        <v>44868</v>
      </c>
      <c r="E31" s="38" t="s">
        <v>503</v>
      </c>
      <c r="F31" s="38">
        <v>22</v>
      </c>
      <c r="G31" s="38" t="s">
        <v>36</v>
      </c>
      <c r="H31" s="38" t="s">
        <v>69</v>
      </c>
      <c r="I31" s="38" t="s">
        <v>69</v>
      </c>
      <c r="J31" s="38" t="s">
        <v>41</v>
      </c>
      <c r="K31" s="40"/>
      <c r="L31" s="38" t="s">
        <v>41</v>
      </c>
      <c r="M31" s="40"/>
      <c r="N31" s="38" t="s">
        <v>41</v>
      </c>
      <c r="O31" s="40"/>
      <c r="P31" s="38" t="s">
        <v>41</v>
      </c>
      <c r="Q31" s="40"/>
      <c r="R31" s="38" t="s">
        <v>41</v>
      </c>
      <c r="S31" s="40"/>
      <c r="T31" s="38" t="s">
        <v>41</v>
      </c>
      <c r="U31" s="40"/>
      <c r="V31" s="38" t="s">
        <v>41</v>
      </c>
      <c r="W31" s="40"/>
      <c r="X31" s="38" t="s">
        <v>41</v>
      </c>
      <c r="Y31" s="38" t="s">
        <v>68</v>
      </c>
      <c r="Z31" s="40"/>
    </row>
    <row r="32" spans="1:26" ht="15" customHeight="1" x14ac:dyDescent="0.3">
      <c r="A32" s="38" t="s">
        <v>826</v>
      </c>
      <c r="B32" s="38"/>
      <c r="C32" s="38" t="s">
        <v>784</v>
      </c>
      <c r="D32" s="39">
        <v>44887</v>
      </c>
      <c r="E32" s="38" t="s">
        <v>827</v>
      </c>
      <c r="F32" s="38">
        <v>24</v>
      </c>
      <c r="G32" s="38" t="s">
        <v>36</v>
      </c>
      <c r="H32" s="38">
        <v>60</v>
      </c>
      <c r="I32" s="38">
        <v>36</v>
      </c>
      <c r="J32" s="38" t="s">
        <v>38</v>
      </c>
      <c r="K32" s="38" t="s">
        <v>43</v>
      </c>
      <c r="L32" s="38" t="s">
        <v>41</v>
      </c>
      <c r="M32" s="40"/>
      <c r="N32" s="38" t="s">
        <v>41</v>
      </c>
      <c r="O32" s="40"/>
      <c r="P32" s="38" t="s">
        <v>41</v>
      </c>
      <c r="Q32" s="40"/>
      <c r="R32" s="38" t="s">
        <v>41</v>
      </c>
      <c r="S32" s="40"/>
      <c r="T32" s="38" t="s">
        <v>41</v>
      </c>
      <c r="U32" s="40"/>
      <c r="V32" s="38" t="s">
        <v>41</v>
      </c>
      <c r="W32" s="40"/>
      <c r="X32" s="38" t="s">
        <v>41</v>
      </c>
      <c r="Y32" s="38" t="s">
        <v>68</v>
      </c>
      <c r="Z32" s="40"/>
    </row>
    <row r="33" spans="1:26" ht="15" customHeight="1" x14ac:dyDescent="0.3">
      <c r="A33" s="38" t="s">
        <v>828</v>
      </c>
      <c r="B33" s="38"/>
      <c r="C33" s="38" t="s">
        <v>784</v>
      </c>
      <c r="D33" s="39">
        <v>44861</v>
      </c>
      <c r="E33" s="38" t="s">
        <v>399</v>
      </c>
      <c r="F33" s="38">
        <v>46</v>
      </c>
      <c r="G33" s="38" t="s">
        <v>87</v>
      </c>
      <c r="H33" s="38">
        <v>63</v>
      </c>
      <c r="I33" s="38">
        <v>37.200000000000003</v>
      </c>
      <c r="J33" s="38" t="s">
        <v>38</v>
      </c>
      <c r="K33" s="38" t="s">
        <v>51</v>
      </c>
      <c r="L33" s="38" t="s">
        <v>41</v>
      </c>
      <c r="M33" s="40"/>
      <c r="N33" s="38" t="s">
        <v>41</v>
      </c>
      <c r="O33" s="40"/>
      <c r="P33" s="38" t="s">
        <v>41</v>
      </c>
      <c r="Q33" s="40"/>
      <c r="R33" s="38" t="s">
        <v>41</v>
      </c>
      <c r="S33" s="40"/>
      <c r="T33" s="38" t="s">
        <v>41</v>
      </c>
      <c r="U33" s="40"/>
      <c r="V33" s="38" t="s">
        <v>41</v>
      </c>
      <c r="W33" s="40"/>
      <c r="X33" s="38" t="s">
        <v>41</v>
      </c>
      <c r="Y33" s="38" t="s">
        <v>68</v>
      </c>
      <c r="Z33" s="40"/>
    </row>
    <row r="34" spans="1:26" ht="15" customHeight="1" x14ac:dyDescent="0.3">
      <c r="A34" s="42" t="s">
        <v>829</v>
      </c>
      <c r="B34" s="42"/>
      <c r="C34" s="38" t="s">
        <v>784</v>
      </c>
      <c r="D34" s="39">
        <v>44861</v>
      </c>
      <c r="E34" s="38" t="s">
        <v>641</v>
      </c>
      <c r="F34" s="38">
        <v>49</v>
      </c>
      <c r="G34" s="38" t="s">
        <v>36</v>
      </c>
      <c r="H34" s="38">
        <v>82</v>
      </c>
      <c r="I34" s="38" t="s">
        <v>69</v>
      </c>
      <c r="J34" s="38" t="s">
        <v>38</v>
      </c>
      <c r="K34" s="38" t="s">
        <v>65</v>
      </c>
      <c r="L34" s="38" t="s">
        <v>41</v>
      </c>
      <c r="M34" s="40"/>
      <c r="N34" s="38" t="s">
        <v>38</v>
      </c>
      <c r="O34" s="38" t="s">
        <v>65</v>
      </c>
      <c r="P34" s="38" t="s">
        <v>41</v>
      </c>
      <c r="Q34" s="40"/>
      <c r="R34" s="38" t="s">
        <v>41</v>
      </c>
      <c r="S34" s="40"/>
      <c r="T34" s="38" t="s">
        <v>41</v>
      </c>
      <c r="U34" s="40"/>
      <c r="V34" s="38" t="s">
        <v>41</v>
      </c>
      <c r="W34" s="40"/>
      <c r="X34" s="38" t="s">
        <v>41</v>
      </c>
      <c r="Y34" s="38" t="s">
        <v>68</v>
      </c>
      <c r="Z34" s="40"/>
    </row>
    <row r="35" spans="1:26" ht="15" customHeight="1" x14ac:dyDescent="0.3">
      <c r="A35" s="38" t="s">
        <v>830</v>
      </c>
      <c r="B35" s="38"/>
      <c r="C35" s="38" t="s">
        <v>784</v>
      </c>
      <c r="D35" s="39">
        <v>44861</v>
      </c>
      <c r="E35" s="38" t="s">
        <v>525</v>
      </c>
      <c r="F35" s="38">
        <v>46</v>
      </c>
      <c r="G35" s="38" t="s">
        <v>36</v>
      </c>
      <c r="H35" s="38">
        <v>61</v>
      </c>
      <c r="I35" s="38">
        <v>37.200000000000003</v>
      </c>
      <c r="J35" s="38" t="s">
        <v>41</v>
      </c>
      <c r="K35" s="40"/>
      <c r="L35" s="38" t="s">
        <v>41</v>
      </c>
      <c r="M35" s="40"/>
      <c r="N35" s="38" t="s">
        <v>41</v>
      </c>
      <c r="O35" s="40"/>
      <c r="P35" s="38" t="s">
        <v>41</v>
      </c>
      <c r="Q35" s="40"/>
      <c r="R35" s="38" t="s">
        <v>41</v>
      </c>
      <c r="S35" s="40"/>
      <c r="T35" s="38" t="s">
        <v>41</v>
      </c>
      <c r="U35" s="40"/>
      <c r="V35" s="38" t="s">
        <v>41</v>
      </c>
      <c r="W35" s="40"/>
      <c r="X35" s="38" t="s">
        <v>41</v>
      </c>
      <c r="Y35" s="38" t="s">
        <v>68</v>
      </c>
      <c r="Z35" s="40"/>
    </row>
    <row r="36" spans="1:26" ht="15" customHeight="1" x14ac:dyDescent="0.3">
      <c r="A36" s="38" t="s">
        <v>831</v>
      </c>
      <c r="B36" s="38"/>
      <c r="C36" s="38" t="s">
        <v>784</v>
      </c>
      <c r="D36" s="39">
        <v>44837</v>
      </c>
      <c r="E36" s="38" t="s">
        <v>832</v>
      </c>
      <c r="F36" s="38">
        <v>40</v>
      </c>
      <c r="G36" s="38" t="s">
        <v>36</v>
      </c>
      <c r="H36" s="38">
        <v>48</v>
      </c>
      <c r="I36" s="38">
        <v>36.700000000000003</v>
      </c>
      <c r="J36" s="38" t="s">
        <v>41</v>
      </c>
      <c r="K36" s="40"/>
      <c r="L36" s="38" t="s">
        <v>41</v>
      </c>
      <c r="M36" s="40"/>
      <c r="N36" s="38" t="s">
        <v>41</v>
      </c>
      <c r="O36" s="40"/>
      <c r="P36" s="38" t="s">
        <v>41</v>
      </c>
      <c r="Q36" s="40"/>
      <c r="R36" s="38" t="s">
        <v>41</v>
      </c>
      <c r="S36" s="40"/>
      <c r="T36" s="38" t="s">
        <v>41</v>
      </c>
      <c r="U36" s="40"/>
      <c r="V36" s="38" t="s">
        <v>41</v>
      </c>
      <c r="W36" s="40"/>
      <c r="X36" s="38" t="s">
        <v>213</v>
      </c>
      <c r="Y36" s="38" t="s">
        <v>68</v>
      </c>
      <c r="Z36" s="40"/>
    </row>
    <row r="37" spans="1:26" ht="15" customHeight="1" x14ac:dyDescent="0.3">
      <c r="A37" s="38" t="s">
        <v>829</v>
      </c>
      <c r="B37" s="38"/>
      <c r="C37" s="38" t="s">
        <v>784</v>
      </c>
      <c r="D37" s="39">
        <v>44887</v>
      </c>
      <c r="E37" s="38" t="s">
        <v>833</v>
      </c>
      <c r="F37" s="38">
        <v>32</v>
      </c>
      <c r="G37" s="38" t="s">
        <v>36</v>
      </c>
      <c r="H37" s="38" t="s">
        <v>69</v>
      </c>
      <c r="I37" s="38">
        <v>37</v>
      </c>
      <c r="J37" s="38" t="s">
        <v>38</v>
      </c>
      <c r="K37" s="38" t="s">
        <v>65</v>
      </c>
      <c r="L37" s="38" t="s">
        <v>41</v>
      </c>
      <c r="M37" s="40"/>
      <c r="N37" s="38" t="s">
        <v>41</v>
      </c>
      <c r="O37" s="40"/>
      <c r="P37" s="38" t="s">
        <v>41</v>
      </c>
      <c r="Q37" s="40"/>
      <c r="R37" s="38" t="s">
        <v>41</v>
      </c>
      <c r="S37" s="40"/>
      <c r="T37" s="38" t="s">
        <v>41</v>
      </c>
      <c r="U37" s="40"/>
      <c r="V37" s="38" t="s">
        <v>41</v>
      </c>
      <c r="W37" s="40"/>
      <c r="X37" s="38" t="s">
        <v>41</v>
      </c>
      <c r="Y37" s="38" t="s">
        <v>68</v>
      </c>
      <c r="Z37" s="40"/>
    </row>
    <row r="38" spans="1:26" ht="15" customHeight="1" x14ac:dyDescent="0.3">
      <c r="A38" s="38" t="s">
        <v>834</v>
      </c>
      <c r="B38" s="38"/>
      <c r="C38" s="38" t="s">
        <v>835</v>
      </c>
      <c r="D38" s="38" t="s">
        <v>836</v>
      </c>
      <c r="E38" s="38" t="s">
        <v>520</v>
      </c>
      <c r="F38" s="38">
        <v>57</v>
      </c>
      <c r="G38" s="38" t="s">
        <v>87</v>
      </c>
      <c r="H38" s="38">
        <v>65</v>
      </c>
      <c r="I38" s="38">
        <v>37</v>
      </c>
      <c r="J38" s="38" t="s">
        <v>38</v>
      </c>
      <c r="K38" s="38" t="s">
        <v>157</v>
      </c>
      <c r="L38" s="38" t="s">
        <v>41</v>
      </c>
      <c r="M38" s="40"/>
      <c r="N38" s="38" t="s">
        <v>38</v>
      </c>
      <c r="O38" s="38" t="s">
        <v>55</v>
      </c>
      <c r="P38" s="38" t="s">
        <v>38</v>
      </c>
      <c r="Q38" s="38" t="s">
        <v>65</v>
      </c>
      <c r="R38" s="38" t="s">
        <v>41</v>
      </c>
      <c r="S38" s="40"/>
      <c r="T38" s="38" t="s">
        <v>41</v>
      </c>
      <c r="U38" s="40"/>
      <c r="V38" s="38" t="s">
        <v>41</v>
      </c>
      <c r="W38" s="40"/>
      <c r="X38" s="38" t="s">
        <v>41</v>
      </c>
      <c r="Y38" s="38" t="s">
        <v>68</v>
      </c>
      <c r="Z38" s="40"/>
    </row>
    <row r="39" spans="1:26" ht="15" customHeight="1" x14ac:dyDescent="0.3">
      <c r="A39" s="38" t="s">
        <v>837</v>
      </c>
      <c r="B39" s="38"/>
      <c r="C39" s="38" t="s">
        <v>838</v>
      </c>
      <c r="D39" s="39">
        <v>44888</v>
      </c>
      <c r="E39" s="38" t="s">
        <v>426</v>
      </c>
      <c r="F39" s="38">
        <v>23</v>
      </c>
      <c r="G39" s="38" t="s">
        <v>36</v>
      </c>
      <c r="H39" s="38">
        <v>49</v>
      </c>
      <c r="I39" s="38">
        <v>38</v>
      </c>
      <c r="J39" s="38" t="s">
        <v>41</v>
      </c>
      <c r="K39" s="40"/>
      <c r="L39" s="38" t="s">
        <v>41</v>
      </c>
      <c r="M39" s="40"/>
      <c r="N39" s="38" t="s">
        <v>41</v>
      </c>
      <c r="O39" s="40"/>
      <c r="P39" s="38" t="s">
        <v>41</v>
      </c>
      <c r="Q39" s="40"/>
      <c r="R39" s="38" t="s">
        <v>41</v>
      </c>
      <c r="S39" s="40"/>
      <c r="T39" s="38" t="s">
        <v>41</v>
      </c>
      <c r="U39" s="40"/>
      <c r="V39" s="38" t="s">
        <v>41</v>
      </c>
      <c r="W39" s="40"/>
      <c r="X39" s="38" t="s">
        <v>41</v>
      </c>
      <c r="Y39" s="38" t="s">
        <v>68</v>
      </c>
      <c r="Z39" s="40"/>
    </row>
    <row r="40" spans="1:26" ht="15" customHeight="1" x14ac:dyDescent="0.3">
      <c r="A40" s="38" t="s">
        <v>839</v>
      </c>
      <c r="B40" s="38"/>
      <c r="C40" s="38" t="s">
        <v>838</v>
      </c>
      <c r="D40" s="39">
        <v>44965</v>
      </c>
      <c r="E40" s="38" t="s">
        <v>840</v>
      </c>
      <c r="F40" s="38">
        <v>40</v>
      </c>
      <c r="G40" s="38" t="s">
        <v>87</v>
      </c>
      <c r="H40" s="38">
        <v>71</v>
      </c>
      <c r="I40" s="38">
        <v>36.5</v>
      </c>
      <c r="J40" s="38" t="s">
        <v>41</v>
      </c>
      <c r="K40" s="40"/>
      <c r="L40" s="38" t="s">
        <v>41</v>
      </c>
      <c r="M40" s="40"/>
      <c r="N40" s="38" t="s">
        <v>41</v>
      </c>
      <c r="O40" s="40"/>
      <c r="P40" s="38" t="s">
        <v>41</v>
      </c>
      <c r="Q40" s="40"/>
      <c r="R40" s="38" t="s">
        <v>41</v>
      </c>
      <c r="S40" s="40"/>
      <c r="T40" s="38" t="s">
        <v>41</v>
      </c>
      <c r="U40" s="40"/>
      <c r="V40" s="38" t="s">
        <v>41</v>
      </c>
      <c r="W40" s="40"/>
      <c r="X40" s="38" t="s">
        <v>41</v>
      </c>
      <c r="Y40" s="38" t="s">
        <v>68</v>
      </c>
      <c r="Z40" s="40"/>
    </row>
    <row r="41" spans="1:26" ht="15" customHeight="1" x14ac:dyDescent="0.3">
      <c r="A41" s="38" t="s">
        <v>841</v>
      </c>
      <c r="B41" s="38"/>
      <c r="C41" s="38" t="s">
        <v>842</v>
      </c>
      <c r="D41" s="39">
        <v>44964</v>
      </c>
      <c r="E41" s="38" t="s">
        <v>800</v>
      </c>
      <c r="F41" s="38">
        <v>50</v>
      </c>
      <c r="G41" s="38" t="s">
        <v>87</v>
      </c>
      <c r="H41" s="38">
        <v>60</v>
      </c>
      <c r="I41" s="38">
        <v>38</v>
      </c>
      <c r="J41" s="38" t="s">
        <v>41</v>
      </c>
      <c r="K41" s="40"/>
      <c r="L41" s="38" t="s">
        <v>41</v>
      </c>
      <c r="M41" s="40"/>
      <c r="N41" s="38" t="s">
        <v>41</v>
      </c>
      <c r="O41" s="40"/>
      <c r="P41" s="38" t="s">
        <v>41</v>
      </c>
      <c r="Q41" s="40"/>
      <c r="R41" s="38" t="s">
        <v>41</v>
      </c>
      <c r="S41" s="40"/>
      <c r="T41" s="38" t="s">
        <v>41</v>
      </c>
      <c r="U41" s="40"/>
      <c r="V41" s="38" t="s">
        <v>41</v>
      </c>
      <c r="W41" s="40"/>
      <c r="X41" s="38" t="s">
        <v>41</v>
      </c>
      <c r="Y41" s="38" t="s">
        <v>68</v>
      </c>
      <c r="Z41" s="40"/>
    </row>
    <row r="42" spans="1:26" ht="15" customHeight="1" x14ac:dyDescent="0.3">
      <c r="A42" s="40" t="s">
        <v>843</v>
      </c>
      <c r="B42" s="40"/>
      <c r="C42" s="40" t="s">
        <v>844</v>
      </c>
      <c r="D42" s="43">
        <v>45306</v>
      </c>
      <c r="E42" s="40" t="s">
        <v>845</v>
      </c>
      <c r="F42" s="40">
        <v>40</v>
      </c>
      <c r="G42" s="40" t="s">
        <v>36</v>
      </c>
      <c r="H42" s="40">
        <v>76</v>
      </c>
      <c r="I42" s="40">
        <v>38</v>
      </c>
      <c r="J42" s="40" t="s">
        <v>41</v>
      </c>
      <c r="K42" s="40"/>
      <c r="L42" s="40" t="s">
        <v>41</v>
      </c>
      <c r="M42" s="40"/>
      <c r="N42" s="40" t="s">
        <v>41</v>
      </c>
      <c r="O42" s="40"/>
      <c r="P42" s="40" t="s">
        <v>41</v>
      </c>
      <c r="Q42" s="40"/>
      <c r="R42" s="40" t="s">
        <v>41</v>
      </c>
      <c r="S42" s="40"/>
      <c r="T42" s="40" t="s">
        <v>41</v>
      </c>
      <c r="U42" s="40"/>
      <c r="V42" s="40" t="s">
        <v>41</v>
      </c>
      <c r="W42" s="40"/>
      <c r="X42" s="40" t="s">
        <v>41</v>
      </c>
      <c r="Y42" s="40" t="s">
        <v>68</v>
      </c>
      <c r="Z42" s="40"/>
    </row>
    <row r="43" spans="1:26" ht="15" customHeight="1" x14ac:dyDescent="0.3">
      <c r="A43" s="40" t="s">
        <v>846</v>
      </c>
      <c r="B43" s="40"/>
      <c r="C43" s="40" t="s">
        <v>847</v>
      </c>
      <c r="D43" s="43">
        <v>45322</v>
      </c>
      <c r="E43" s="40" t="s">
        <v>742</v>
      </c>
      <c r="F43" s="40">
        <v>22</v>
      </c>
      <c r="G43" s="40" t="s">
        <v>87</v>
      </c>
      <c r="H43" s="40">
        <v>61</v>
      </c>
      <c r="I43" s="40">
        <v>35</v>
      </c>
      <c r="J43" s="40" t="s">
        <v>38</v>
      </c>
      <c r="K43" s="40" t="s">
        <v>51</v>
      </c>
      <c r="L43" s="40" t="s">
        <v>41</v>
      </c>
      <c r="M43" s="40"/>
      <c r="N43" s="40" t="s">
        <v>41</v>
      </c>
      <c r="O43" s="40"/>
      <c r="P43" s="40" t="s">
        <v>41</v>
      </c>
      <c r="Q43" s="40"/>
      <c r="R43" s="40" t="s">
        <v>41</v>
      </c>
      <c r="S43" s="40"/>
      <c r="T43" s="40" t="s">
        <v>41</v>
      </c>
      <c r="U43" s="40"/>
      <c r="V43" s="40" t="s">
        <v>41</v>
      </c>
      <c r="W43" s="40"/>
      <c r="X43" s="40" t="s">
        <v>41</v>
      </c>
      <c r="Y43" s="40" t="s">
        <v>68</v>
      </c>
      <c r="Z43" s="40"/>
    </row>
    <row r="44" spans="1:26" ht="14.4" x14ac:dyDescent="0.3">
      <c r="A44" s="40" t="s">
        <v>848</v>
      </c>
      <c r="B44" s="40"/>
      <c r="C44" s="40" t="s">
        <v>847</v>
      </c>
      <c r="D44" s="43">
        <v>45306</v>
      </c>
      <c r="E44" s="40" t="s">
        <v>742</v>
      </c>
      <c r="F44" s="40">
        <v>47</v>
      </c>
      <c r="G44" s="40" t="s">
        <v>87</v>
      </c>
      <c r="H44" s="40">
        <v>90</v>
      </c>
      <c r="I44" s="40">
        <v>39</v>
      </c>
      <c r="J44" s="40" t="s">
        <v>41</v>
      </c>
      <c r="K44" s="40"/>
      <c r="L44" s="40" t="s">
        <v>41</v>
      </c>
      <c r="M44" s="40"/>
      <c r="N44" s="40" t="s">
        <v>41</v>
      </c>
      <c r="O44" s="40"/>
      <c r="P44" s="40" t="s">
        <v>41</v>
      </c>
      <c r="Q44" s="40"/>
      <c r="R44" s="40" t="s">
        <v>41</v>
      </c>
      <c r="S44" s="40"/>
      <c r="T44" s="40" t="s">
        <v>41</v>
      </c>
      <c r="U44" s="40"/>
      <c r="V44" s="40" t="s">
        <v>41</v>
      </c>
      <c r="W44" s="40"/>
      <c r="X44" s="40" t="s">
        <v>41</v>
      </c>
      <c r="Y44" s="40" t="s">
        <v>68</v>
      </c>
      <c r="Z44" s="40"/>
    </row>
    <row r="45" spans="1:26" ht="14.4" x14ac:dyDescent="0.3">
      <c r="A45" s="40" t="s">
        <v>849</v>
      </c>
      <c r="B45" s="40"/>
      <c r="C45" s="40" t="s">
        <v>844</v>
      </c>
      <c r="D45" s="43">
        <v>45343</v>
      </c>
      <c r="E45" s="40" t="s">
        <v>408</v>
      </c>
      <c r="F45" s="40">
        <v>21</v>
      </c>
      <c r="G45" s="40" t="s">
        <v>87</v>
      </c>
      <c r="H45" s="40">
        <v>55</v>
      </c>
      <c r="I45" s="40">
        <v>37</v>
      </c>
      <c r="J45" s="40" t="s">
        <v>41</v>
      </c>
      <c r="K45" s="40"/>
      <c r="L45" s="40" t="s">
        <v>41</v>
      </c>
      <c r="M45" s="40"/>
      <c r="N45" s="40" t="s">
        <v>41</v>
      </c>
      <c r="O45" s="40"/>
      <c r="P45" s="40" t="s">
        <v>41</v>
      </c>
      <c r="Q45" s="40"/>
      <c r="R45" s="40" t="s">
        <v>41</v>
      </c>
      <c r="S45" s="40"/>
      <c r="T45" s="40" t="s">
        <v>41</v>
      </c>
      <c r="U45" s="40"/>
      <c r="V45" s="40" t="s">
        <v>41</v>
      </c>
      <c r="W45" s="40"/>
      <c r="X45" s="40" t="s">
        <v>41</v>
      </c>
      <c r="Y45" s="40" t="s">
        <v>68</v>
      </c>
      <c r="Z45" s="40"/>
    </row>
    <row r="46" spans="1:26" ht="14.4" x14ac:dyDescent="0.3">
      <c r="A46" s="40" t="s">
        <v>850</v>
      </c>
      <c r="B46" s="40"/>
      <c r="C46" s="40" t="s">
        <v>851</v>
      </c>
      <c r="D46" s="44">
        <v>45364</v>
      </c>
      <c r="E46" s="40" t="s">
        <v>852</v>
      </c>
      <c r="F46" s="40">
        <v>46</v>
      </c>
      <c r="G46" s="40" t="s">
        <v>36</v>
      </c>
      <c r="H46" s="40">
        <v>46</v>
      </c>
      <c r="I46" s="40">
        <v>37</v>
      </c>
      <c r="J46" s="40" t="s">
        <v>41</v>
      </c>
      <c r="K46" s="40"/>
      <c r="L46" s="40" t="s">
        <v>41</v>
      </c>
      <c r="M46" s="40"/>
      <c r="N46" s="40" t="s">
        <v>41</v>
      </c>
      <c r="O46" s="40"/>
      <c r="P46" s="40" t="s">
        <v>41</v>
      </c>
      <c r="Q46" s="40"/>
      <c r="R46" s="40" t="s">
        <v>41</v>
      </c>
      <c r="S46" s="40"/>
      <c r="T46" s="40" t="s">
        <v>41</v>
      </c>
      <c r="U46" s="40"/>
      <c r="V46" s="40" t="s">
        <v>41</v>
      </c>
      <c r="W46" s="40"/>
      <c r="X46" s="40" t="s">
        <v>41</v>
      </c>
      <c r="Y46" s="40" t="s">
        <v>68</v>
      </c>
      <c r="Z46" s="40"/>
    </row>
    <row r="47" spans="1:26" ht="14.4" x14ac:dyDescent="0.3">
      <c r="A47" s="45" t="s">
        <v>853</v>
      </c>
      <c r="B47" s="45"/>
      <c r="C47" s="45" t="s">
        <v>854</v>
      </c>
      <c r="D47" s="46">
        <v>45264</v>
      </c>
      <c r="E47" s="45" t="s">
        <v>855</v>
      </c>
      <c r="F47" s="45">
        <v>31</v>
      </c>
      <c r="G47" s="45" t="s">
        <v>87</v>
      </c>
      <c r="H47" s="45">
        <v>66</v>
      </c>
      <c r="I47" s="45">
        <v>37</v>
      </c>
      <c r="J47" s="45" t="s">
        <v>41</v>
      </c>
      <c r="L47" s="45" t="s">
        <v>41</v>
      </c>
      <c r="N47" s="45" t="s">
        <v>41</v>
      </c>
      <c r="P47" s="45" t="s">
        <v>41</v>
      </c>
      <c r="R47" s="45" t="s">
        <v>41</v>
      </c>
      <c r="T47" s="45" t="s">
        <v>41</v>
      </c>
      <c r="V47" s="45" t="s">
        <v>41</v>
      </c>
      <c r="X47" s="45" t="s">
        <v>41</v>
      </c>
      <c r="Y47" s="45" t="s">
        <v>68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Merged Dataset</vt:lpstr>
      <vt:lpstr>FOLLOWUP</vt:lpstr>
      <vt:lpstr>Sheet1</vt:lpstr>
      <vt:lpstr>HEALTHY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HP</cp:lastModifiedBy>
  <dcterms:created xsi:type="dcterms:W3CDTF">2023-01-13T12:55:42Z</dcterms:created>
  <dcterms:modified xsi:type="dcterms:W3CDTF">2024-08-08T09:12:15Z</dcterms:modified>
</cp:coreProperties>
</file>